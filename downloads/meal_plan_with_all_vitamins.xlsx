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1.xml" ContentType="application/vnd.openxmlformats-officedocument.spreadsheetml.table+xml"/>
  <Override PartName="/xl/worksheets/sheet7.xml" ContentType="application/vnd.openxmlformats-officedocument.spreadsheetml.worksheet+xml"/>
  <Override PartName="/xl/tables/table2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672bcea0184b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7-Day Meal Plan" sheetId="1" r:id="R1bb4256173244b61"/>
    <x:sheet xmlns:r="http://schemas.openxmlformats.org/officeDocument/2006/relationships" name="Daily Nutrition" sheetId="2" r:id="R542de149c96b4f4a"/>
    <x:sheet xmlns:r="http://schemas.openxmlformats.org/officeDocument/2006/relationships" name="Targets &amp; Interpretation" sheetId="3" r:id="Ref67f0c9aca34353"/>
    <x:sheet xmlns:r="http://schemas.openxmlformats.org/officeDocument/2006/relationships" name="Viruddha Ahara Audit" sheetId="4" r:id="R2cd1570c3b7b431e"/>
    <x:sheet xmlns:r="http://schemas.openxmlformats.org/officeDocument/2006/relationships" name="Sources &amp; Method" sheetId="5" r:id="Rd9e1d96dbe674a53"/>
    <x:sheet xmlns:r="http://schemas.openxmlformats.org/officeDocument/2006/relationships" name="Recipe Mapping" sheetId="6" r:id="R1ec913c25fdc421c"/>
    <x:sheet xmlns:r="http://schemas.openxmlformats.org/officeDocument/2006/relationships" name="Batch Prep Guide" sheetId="7" r:id="R57bbcd794e2a4efc"/>
    <x:sheet xmlns:r="http://schemas.openxmlformats.org/officeDocument/2006/relationships" name="Recipe Use Guide" sheetId="8" r:id="R2f3a3445b51f4e86"/>
    <x:sheet xmlns:r="http://schemas.openxmlformats.org/officeDocument/2006/relationships" name="Final Criteria Audit" sheetId="9" r:id="R5f310f57c66449dc"/>
    <x:sheet xmlns:r="http://schemas.openxmlformats.org/officeDocument/2006/relationships" name="Vitamin Detail" sheetId="10" r:id="Rb0c0dc0547764572"/>
    <x:sheet xmlns:r="http://schemas.openxmlformats.org/officeDocument/2006/relationships" name="Breakfast Options" sheetId="11" r:id="Rc0c27fe954334787"/>
    <x:sheet xmlns:r="http://schemas.openxmlformats.org/officeDocument/2006/relationships" name="Breakfast Review" sheetId="12" r:id="Ra56bc36434994ff9"/>
    <x:sheet xmlns:r="http://schemas.openxmlformats.org/officeDocument/2006/relationships" name="YouTube Recipe Guide" sheetId="13" r:id="Ree023303437d49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6"/>
      <x:color rgb="FFFFFFFF"/>
      <x:name val="Carlito"/>
    </x:font>
  </x:fonts>
  <x:fills count="2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8064A2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7F6000"/>
      </x:patternFill>
    </x:fill>
    <x:fill>
      <x:patternFill patternType="solid">
        <x:fgColor rgb="FF203864"/>
      </x:patternFill>
    </x:fill>
    <x:fill>
      <x:patternFill patternType="solid">
        <x:fgColor rgb="FF8064A2"/>
      </x:patternFill>
    </x:fill>
    <x:fill>
      <x:patternFill patternType="solid">
        <x:fgColor rgb="FFC55A11"/>
      </x:patternFill>
    </x:fill>
    <x:fill>
      <x:patternFill patternType="solid">
        <x:fgColor rgb="FF548235"/>
      </x:patternFill>
    </x:fill>
    <x:fill>
      <x:patternFill patternType="solid">
        <x:fgColor rgb="FF4472C4"/>
      </x:patternFill>
    </x:fill>
    <x:fill>
      <x:patternFill patternType="solid">
        <x:fgColor rgb="FF1F4E78"/>
      </x:patternFill>
    </x:fill>
    <x:fill>
      <x:patternFill patternType="solid">
        <x:fgColor rgb="FF548235"/>
      </x:patternFill>
    </x:fill>
    <x:fill>
      <x:patternFill patternType="solid">
        <x:fgColor rgb="FF5B9BD5"/>
      </x:patternFill>
    </x:fill>
    <x:fill>
      <x:patternFill patternType="solid">
        <x:fgColor rgb="FF7030A0"/>
      </x:patternFill>
    </x:fill>
    <x:fill>
      <x:patternFill patternType="solid">
        <x:fgColor rgb="FF17365D"/>
      </x:patternFill>
    </x:fill>
    <x:fill>
      <x:patternFill patternType="solid">
        <x:fgColor rgb="FF70AD47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10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0" fillId="4" borderId="1" xfId="0" applyNumberFormat="1" applyFont="1" applyFill="1" applyBorder="1"/>
    <x:xf numFmtId="0" fontId="1" fillId="4" borderId="1" xfId="0" applyNumberFormat="1" applyFont="1" applyFill="1" applyBorder="1"/>
    <x:xf numFmtId="0" fontId="1" fillId="4" borderId="0" xfId="0" applyNumberFormat="1" applyFont="1" applyFill="1" applyBorder="1" applyAlignment="1">
      <x:alignment wrapText="1"/>
    </x:xf>
    <x:xf numFmtId="0" fontId="1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0" fillId="6" borderId="1" xfId="0" applyNumberFormat="1" applyFont="1" applyFill="1" applyBorder="1"/>
    <x:xf numFmtId="0" fontId="1" fillId="6" borderId="1" xfId="0" applyNumberFormat="1" applyFont="1" applyFill="1" applyBorder="1"/>
    <x:xf numFmtId="0" fontId="1" fillId="6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7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horizontal="center" wrapText="1"/>
    </x:xf>
    <x:xf numFmtId="0" fontId="1" fillId="7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9" borderId="0" xfId="0" applyNumberFormat="1" applyFont="1" applyFill="1" applyBorder="1"/>
    <x:xf numFmtId="0" fontId="1" fillId="9" borderId="0" xfId="0" applyNumberFormat="1" applyFont="1" applyFill="1" applyBorder="1"/>
    <x:xf numFmtId="0" fontId="1" fillId="9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1" fillId="4" borderId="0" xfId="0" applyNumberFormat="1" applyFont="1" applyFill="1" applyBorder="1" applyAlignment="1">
      <x:alignment horizontal="center" wrapText="1"/>
    </x:xf>
    <x:xf numFmtId="0" fontId="1" fillId="4" borderId="0" xfId="0" applyNumberFormat="1" applyFont="1" applyFill="1" applyBorder="1" applyAlignment="1">
      <x:alignment horizontal="center" vertical="center" wrapText="1"/>
    </x:xf>
    <x:xf numFmtId="0" fontId="0" fillId="10" borderId="0" xfId="0" applyNumberFormat="1" applyFont="1" applyFill="1" applyBorder="1"/>
    <x:xf numFmtId="0" fontId="1" fillId="10" borderId="0" xfId="0" applyNumberFormat="1" applyFont="1" applyFill="1" applyBorder="1"/>
    <x:xf numFmtId="0" fontId="1" fillId="10" borderId="0" xfId="0" applyNumberFormat="1" applyFont="1" applyFill="1" applyBorder="1" applyAlignment="1">
      <x:alignment wrapText="1"/>
    </x:xf>
    <x:xf numFmtId="0" fontId="1" fillId="10" borderId="0" xfId="0" applyNumberFormat="1" applyFont="1" applyFill="1" applyBorder="1" applyAlignment="1">
      <x:alignment horizontal="center" wrapText="1"/>
    </x:xf>
    <x:xf numFmtId="0" fontId="1" fillId="10" borderId="0" xfId="0" applyNumberFormat="1" applyFont="1" applyFill="1" applyBorder="1" applyAlignment="1">
      <x:alignment horizontal="center" vertical="center" wrapText="1"/>
    </x:xf>
    <x:xf numFmtId="0" fontId="0" fillId="11" borderId="0" xfId="0" applyNumberFormat="1" applyFont="1" applyFill="1" applyBorder="1"/>
    <x:xf numFmtId="0" fontId="1" fillId="11" borderId="0" xfId="0" applyNumberFormat="1" applyFont="1" applyFill="1" applyBorder="1"/>
    <x:xf numFmtId="0" fontId="1" fillId="11" borderId="0" xfId="0" applyNumberFormat="1" applyFont="1" applyFill="1" applyBorder="1" applyAlignment="1">
      <x:alignment wrapText="1"/>
    </x:xf>
    <x:xf numFmtId="0" fontId="1" fillId="12" borderId="0" xfId="0" applyNumberFormat="1" applyFont="1" applyFill="1" applyBorder="1" applyAlignment="1">
      <x:alignment wrapText="1"/>
    </x:xf>
    <x:xf numFmtId="0" fontId="1" fillId="13" borderId="0" xfId="0" applyNumberFormat="1" applyFont="1" applyFill="1" applyBorder="1" applyAlignment="1">
      <x:alignment wrapText="1"/>
    </x:xf>
    <x:xf numFmtId="0" fontId="0" fillId="14" borderId="0" xfId="0" applyNumberFormat="1" applyFont="1" applyFill="1" applyBorder="1"/>
    <x:xf numFmtId="0" fontId="1" fillId="14" borderId="0" xfId="0" applyNumberFormat="1" applyFont="1" applyFill="1" applyBorder="1"/>
    <x:xf numFmtId="0" fontId="1" fillId="14" borderId="0" xfId="0" applyNumberFormat="1" applyFont="1" applyFill="1" applyBorder="1" applyAlignment="1">
      <x:alignment wrapText="1"/>
    </x:xf>
    <x:xf numFmtId="0" fontId="0" fillId="15" borderId="0" xfId="0" applyNumberFormat="1" applyFont="1" applyFill="1" applyBorder="1"/>
    <x:xf numFmtId="0" fontId="1" fillId="15" borderId="0" xfId="0" applyNumberFormat="1" applyFont="1" applyFill="1" applyBorder="1"/>
    <x:xf numFmtId="0" fontId="1" fillId="15" borderId="0" xfId="0" applyNumberFormat="1" applyFont="1" applyFill="1" applyBorder="1" applyAlignment="1">
      <x:alignment wrapText="1"/>
    </x:xf>
    <x:xf numFmtId="0" fontId="1" fillId="15" borderId="0" xfId="0" applyNumberFormat="1" applyFont="1" applyFill="1" applyBorder="1" applyAlignment="1">
      <x:alignment horizontal="center" wrapText="1"/>
    </x:xf>
    <x:xf numFmtId="0" fontId="1" fillId="15" borderId="0" xfId="0" applyNumberFormat="1" applyFont="1" applyFill="1" applyBorder="1" applyAlignment="1">
      <x:alignment horizontal="center" vertical="center" wrapText="1"/>
    </x:xf>
    <x:xf numFmtId="0" fontId="0" fillId="16" borderId="0" xfId="0" applyNumberFormat="1" applyFont="1" applyFill="1" applyBorder="1"/>
    <x:xf numFmtId="0" fontId="1" fillId="16" borderId="0" xfId="0" applyNumberFormat="1" applyFont="1" applyFill="1" applyBorder="1"/>
    <x:xf numFmtId="0" fontId="1" fillId="16" borderId="0" xfId="0" applyNumberFormat="1" applyFont="1" applyFill="1" applyBorder="1" applyAlignment="1">
      <x:alignment wrapText="1"/>
    </x:xf>
    <x:xf numFmtId="0" fontId="1" fillId="16" borderId="0" xfId="0" applyNumberFormat="1" applyFont="1" applyFill="1" applyBorder="1" applyAlignment="1">
      <x:alignment horizontal="center" wrapText="1"/>
    </x:xf>
    <x:xf numFmtId="0" fontId="1" fillId="16" borderId="0" xfId="0" applyNumberFormat="1" applyFont="1" applyFill="1" applyBorder="1" applyAlignment="1">
      <x:alignment horizontal="center" vertical="center" wrapText="1"/>
    </x:xf>
    <x:xf numFmtId="0" fontId="1" fillId="17" borderId="0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horizontal="center" wrapText="1"/>
    </x:xf>
    <x:xf numFmtId="0" fontId="1" fillId="5" borderId="0" xfId="0" applyNumberFormat="1" applyFont="1" applyFill="1" applyBorder="1" applyAlignment="1">
      <x:alignment horizontal="center" vertical="center" wrapText="1"/>
    </x:xf>
    <x:xf numFmtId="0" fontId="1" fillId="18" borderId="0" xfId="0" applyNumberFormat="1" applyFont="1" applyFill="1" applyBorder="1" applyAlignment="1">
      <x:alignment horizontal="center" vertical="center" wrapText="1"/>
    </x:xf>
    <x:xf numFmtId="0" fontId="0" fillId="19" borderId="0" xfId="0" applyNumberFormat="1" applyFont="1" applyFill="1" applyBorder="1"/>
    <x:xf numFmtId="0" fontId="1" fillId="19" borderId="0" xfId="0" applyNumberFormat="1" applyFont="1" applyFill="1" applyBorder="1"/>
    <x:xf numFmtId="0" fontId="1" fillId="19" borderId="0" xfId="0" applyNumberFormat="1" applyFont="1" applyFill="1" applyBorder="1" applyAlignment="1">
      <x:alignment wrapText="1"/>
    </x:xf>
    <x:xf numFmtId="0" fontId="1" fillId="19" borderId="0" xfId="0" applyNumberFormat="1" applyFont="1" applyFill="1" applyBorder="1" applyAlignment="1">
      <x:alignment horizontal="center" wrapText="1"/>
    </x:xf>
    <x:xf numFmtId="0" fontId="1" fillId="19" borderId="0" xfId="0" applyNumberFormat="1" applyFont="1" applyFill="1" applyBorder="1" applyAlignment="1">
      <x:alignment horizontal="center" vertical="center" wrapText="1"/>
    </x:xf>
    <x:xf numFmtId="0" fontId="1" fillId="20" borderId="0" xfId="0" applyNumberFormat="1" applyFont="1" applyFill="1" applyBorder="1" applyAlignment="1">
      <x:alignment wrapText="1"/>
    </x:xf>
    <x:xf numFmtId="0" fontId="1" fillId="20" borderId="0" xfId="0" applyNumberFormat="1" applyFont="1" applyFill="1" applyBorder="1" applyAlignment="1">
      <x:alignment horizontal="center" vertical="center" wrapText="1"/>
    </x:xf>
    <x:xf numFmtId="0" fontId="1" fillId="21" borderId="0" xfId="0" applyNumberFormat="1" applyFont="1" applyFill="1" applyBorder="1" applyAlignment="1">
      <x:alignment wrapText="1"/>
    </x:xf>
    <x:xf numFmtId="0" fontId="1" fillId="22" borderId="0" xfId="0" applyNumberFormat="1" applyFont="1" applyFill="1" applyBorder="1" applyAlignment="1">
      <x:alignment wrapText="1"/>
    </x:xf>
    <x:xf numFmtId="0" fontId="0" fillId="23" borderId="0" xfId="0" applyNumberFormat="1" applyFont="1" applyFill="1" applyBorder="1"/>
    <x:xf numFmtId="0" fontId="2" fillId="23" borderId="0" xfId="0" applyNumberFormat="1" applyFont="1" applyFill="1" applyBorder="1"/>
    <x:xf numFmtId="0" fontId="2" fillId="23" borderId="0" xfId="0" applyNumberFormat="1" applyFont="1" applyFill="1" applyBorder="1" applyAlignment="1">
      <x:alignment horizontal="center"/>
    </x:xf>
    <x:xf numFmtId="0" fontId="2" fillId="23" borderId="0" xfId="0" applyNumberFormat="1" applyFont="1" applyFill="1" applyBorder="1" applyAlignment="1">
      <x:alignment horizontal="center" vertical="center"/>
    </x:xf>
    <x:xf numFmtId="0" fontId="0" fillId="21" borderId="0" xfId="0" applyNumberFormat="1" applyFont="1" applyFill="1" applyBorder="1"/>
    <x:xf numFmtId="0" fontId="1" fillId="21" borderId="0" xfId="0" applyNumberFormat="1" applyFont="1" applyFill="1" applyBorder="1"/>
    <x:xf numFmtId="0" fontId="0" fillId="24" borderId="0" xfId="0" applyNumberFormat="1" applyFont="1" applyFill="1" applyBorder="1"/>
    <x:xf numFmtId="0" fontId="1" fillId="24" borderId="0" xfId="0" applyNumberFormat="1" applyFont="1" applyFill="1" applyBorder="1"/>
    <x:xf numFmtId="0" fontId="1" fillId="24" borderId="0" xfId="0" applyNumberFormat="1" applyFont="1" applyFill="1" applyBorder="1" applyAlignment="1">
      <x:alignment wrapText="1"/>
    </x:xf>
    <x:xf numFmtId="0" fontId="0" fillId="25" borderId="0" xfId="0" applyNumberFormat="1" applyFont="1" applyFill="1" applyBorder="1"/>
    <x:xf numFmtId="0" fontId="1" fillId="25" borderId="0" xfId="0" applyNumberFormat="1" applyFont="1" applyFill="1" applyBorder="1"/>
    <x:xf numFmtId="0" fontId="1" fillId="25" borderId="0" xfId="0" applyNumberFormat="1" applyFont="1" applyFill="1" applyBorder="1" applyAlignment="1">
      <x:alignment wrapText="1"/>
    </x:xf>
    <x:xf numFmtId="0" fontId="1" fillId="25" borderId="0" xfId="0" applyNumberFormat="1" applyFont="1" applyFill="1" applyBorder="1" applyAlignment="1">
      <x:alignment horizontal="center" wrapText="1"/>
    </x:xf>
    <x:xf numFmtId="0" fontId="1" fillId="25" borderId="0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  <x:dxfs count="108"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b/>
        <x:color rgb="FF006100"/>
      </x:font>
      <x:fill>
        <x:patternFill>
          <x:bgColor rgb="FFC6EFCE"/>
        </x:patternFill>
      </x:fill>
    </x:dxf>
    <x:dxf>
      <x:fill>
        <x:patternFill>
          <x:bgColor rgb="FFE2F0D9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0006"/>
      </x:font>
      <x:fill>
        <x:patternFill>
          <x:bgColor rgb="FFFFC7CE"/>
        </x:patternFill>
      </x:fill>
    </x:dxf>
    <x:dxf>
      <x:font>
        <x:color rgb="FF006100"/>
      </x:font>
      <x:fill>
        <x:patternFill>
          <x:bgColor rgb="FFC6EFCE"/>
        </x:patternFill>
      </x:fill>
    </x:dxf>
    <x:dxf>
      <x:font>
        <x:color rgb="FF9C6500"/>
      </x:font>
      <x:fill>
        <x:patternFill>
          <x:bgColor rgb="FFFFEB9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8aa466042b47d1" /><Relationship Type="http://schemas.openxmlformats.org/officeDocument/2006/relationships/theme" Target="/xl/theme/theme1.xml" Id="R08738f039a534df5" /><Relationship Type="http://schemas.openxmlformats.org/officeDocument/2006/relationships/sharedStrings" Target="/xl/sharedStrings.xml" Id="R413005e0b47c418f" /><Relationship Type="http://schemas.openxmlformats.org/officeDocument/2006/relationships/worksheet" Target="/xl/worksheets/sheet1.xml" Id="R1bb4256173244b61" /><Relationship Type="http://schemas.openxmlformats.org/officeDocument/2006/relationships/worksheet" Target="/xl/worksheets/sheet2.xml" Id="R542de149c96b4f4a" /><Relationship Type="http://schemas.openxmlformats.org/officeDocument/2006/relationships/worksheet" Target="/xl/worksheets/sheet3.xml" Id="Ref67f0c9aca34353" /><Relationship Type="http://schemas.openxmlformats.org/officeDocument/2006/relationships/worksheet" Target="/xl/worksheets/sheet4.xml" Id="R2cd1570c3b7b431e" /><Relationship Type="http://schemas.openxmlformats.org/officeDocument/2006/relationships/worksheet" Target="/xl/worksheets/sheet5.xml" Id="Rd9e1d96dbe674a53" /><Relationship Type="http://schemas.openxmlformats.org/officeDocument/2006/relationships/worksheet" Target="/xl/worksheets/sheet6.xml" Id="R1ec913c25fdc421c" /><Relationship Type="http://schemas.openxmlformats.org/officeDocument/2006/relationships/worksheet" Target="/xl/worksheets/sheet7.xml" Id="R57bbcd794e2a4efc" /><Relationship Type="http://schemas.openxmlformats.org/officeDocument/2006/relationships/worksheet" Target="/xl/worksheets/sheet8.xml" Id="R2f3a3445b51f4e86" /><Relationship Type="http://schemas.openxmlformats.org/officeDocument/2006/relationships/worksheet" Target="/xl/worksheets/sheet9.xml" Id="R5f310f57c66449dc" /><Relationship Type="http://schemas.openxmlformats.org/officeDocument/2006/relationships/worksheet" Target="/xl/worksheets/sheet10.xml" Id="Rb0c0dc0547764572" /><Relationship Type="http://schemas.openxmlformats.org/officeDocument/2006/relationships/worksheet" Target="/xl/worksheets/sheet11.xml" Id="Rc0c27fe954334787" /><Relationship Type="http://schemas.openxmlformats.org/officeDocument/2006/relationships/worksheet" Target="/xl/worksheets/sheet12.xml" Id="Ra56bc36434994ff9" /><Relationship Type="http://schemas.openxmlformats.org/officeDocument/2006/relationships/worksheet" Target="/xl/worksheets/sheet13.xml" Id="Ree023303437d4938" /></Relationships>
</file>

<file path=xl/tables/table1.xml><?xml version="1.0" encoding="utf-8"?>
<x:table xmlns:x="http://schemas.openxmlformats.org/spreadsheetml/2006/main" id="1" name="RecipeMappingTable" displayName="RecipeMappingTable" ref="A1:L85" headerRowCount="1" totalsRowCount="0" totalsRowShown="0">
  <x:tableColumns count="12">
    <x:tableColumn id="1" name="Day"/>
    <x:tableColumn id="2" name="Meal / Timing"/>
    <x:tableColumn id="3" name="Exact Ingredients"/>
    <x:tableColumn id="4" name="Option"/>
    <x:tableColumn id="5" name="Recipe"/>
    <x:tableColumn id="6" name="Style"/>
    <x:tableColumn id="7" name="Equipment"/>
    <x:tableColumn id="8" name="Active Prep"/>
    <x:tableColumn id="9" name="Cook Time"/>
    <x:tableColumn id="10" name="Batch Friendly"/>
    <x:tableColumn id="11" name="Method"/>
    <x:tableColumn id="12" name="Effort / Us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BatchPrepTable" displayName="BatchPrepTable" ref="A1:I16" headerRowCount="1" totalsRowCount="0" totalsRowShown="0">
  <x:tableColumns count="9">
    <x:tableColumn id="1" name="Prep Component"/>
    <x:tableColumn id="2" name="Suggested Batch Method"/>
    <x:tableColumn id="3" name="Equipment"/>
    <x:tableColumn id="4" name="Active Time"/>
    <x:tableColumn id="5" name="Batch Size / Frequency"/>
    <x:tableColumn id="6" name="Cool &amp; Store"/>
    <x:tableColumn id="7" name="Reheat / Finish"/>
    <x:tableColumn id="8" name="Used In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1.xml" Id="R7cfb937b21764b5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2.xml" Id="R7140abe83de84761" /></Relationships>
</file>

<file path=xl/worksheets/sheet1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38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2" hidden="0" customWidth="1"/>
    <x:col min="15" max="15" width="12" hidden="0" customWidth="1"/>
    <x:col min="16" max="16" width="12" hidden="0" customWidth="1"/>
    <x:col min="17" max="17" width="34" hidden="0" customWidth="1"/>
    <x:col min="18" max="18" width="17" hidden="0" customWidth="1"/>
    <x:col min="19" max="19" width="17" hidden="0" customWidth="1"/>
  </x:cols>
  <x:sheetData>
    <x:row r="1">
      <x:c r="A1" s="5" t="str">
        <x:v>Day</x:v>
      </x:c>
      <x:c r="B1" s="5" t="str">
        <x:v>Meal / Timing</x:v>
      </x:c>
      <x:c r="C1" s="5" t="str">
        <x:v>Exact Ingredients (1 item per line)</x:v>
      </x:c>
      <x:c r="D1" s="5" t="str">
        <x:v>Calories (kcal)</x:v>
      </x:c>
      <x:c r="E1" s="5" t="str">
        <x:v>Protein (g)</x:v>
      </x:c>
      <x:c r="F1" s="5" t="str">
        <x:v>Carbs (g)</x:v>
      </x:c>
      <x:c r="G1" s="5" t="str">
        <x:v>Fiber (g)</x:v>
      </x:c>
      <x:c r="H1" s="5" t="str">
        <x:v>Fat (g)</x:v>
      </x:c>
      <x:c r="I1" s="5" t="str">
        <x:v>Calcium (mg)</x:v>
      </x:c>
      <x:c r="J1" s="5" t="str">
        <x:v>Iron (mg)</x:v>
      </x:c>
      <x:c r="K1" s="5" t="str">
        <x:v>Magnesium (mg)</x:v>
      </x:c>
      <x:c r="L1" s="5" t="str">
        <x:v>Potassium (mg)</x:v>
      </x:c>
      <x:c r="M1" s="5" t="str">
        <x:v>B12 (µg)</x:v>
      </x:c>
      <x:c r="N1" s="5" t="str">
        <x:v>Vitamin D (µg)</x:v>
      </x:c>
      <x:c r="O1" s="5" t="str">
        <x:v>Folate (µg DFE)</x:v>
      </x:c>
      <x:c r="P1" s="5" t="str">
        <x:v>Omega-3 (g)</x:v>
      </x:c>
      <x:c r="Q1" s="5" t="str">
        <x:v>Viruddha-Ahara safeguard</x:v>
      </x:c>
      <x:c r="R1" s="58" t="str">
        <x:v>Sat Fat (g)</x:v>
      </x:c>
      <x:c r="S1" s="58" t="str">
        <x:v>Preformed Vitamin A (µg RAE)</x:v>
      </x:c>
    </x:row>
    <x:row r="2" ht="76" customHeight="1">
      <x:c r="A2" s="10" t="str">
        <x:v>Day 1</x:v>
      </x:c>
      <x:c r="B2" s="10" t="str">
        <x:v>Breakfast</x:v>
      </x:c>
      <x:c r="C2" s="10" t="str">
        <x:v>Oats 45 g
Low-fat milk 300 ml
Whole eggs 1
Egg whites 100 g
Mushrooms [CF] 100 g
SEPARATE SEED SIDE:
Chia seeds 8 g
Ground flaxseed 7 g
Hemp hearts 5 g
No added salt; no onion/garlic in this milk-containing meal
Do not mix seeds into the milk/grain bowl</x:v>
      </x:c>
      <x:c r="D2" s="10" t="n">
        <x:v>546</x:v>
      </x:c>
      <x:c r="E2" s="10" t="n">
        <x:v>40.6</x:v>
      </x:c>
      <x:c r="F2" s="10" t="n">
        <x:v>55.7</x:v>
      </x:c>
      <x:c r="G2" s="10" t="n">
        <x:v>10.4</x:v>
      </x:c>
      <x:c r="H2" s="10" t="n">
        <x:v>19</x:v>
      </x:c>
      <x:c r="I2" s="10" t="n">
        <x:v>508.3</x:v>
      </x:c>
      <x:c r="J2" s="10" t="n">
        <x:v>4.9</x:v>
      </x:c>
      <x:c r="K2" s="10" t="n">
        <x:v>210.4</x:v>
      </x:c>
      <x:c r="L2" s="10" t="n">
        <x:v>1312.4</x:v>
      </x:c>
      <x:c r="M2" s="10" t="n">
        <x:v>1.9</x:v>
      </x:c>
      <x:c r="N2" s="10" t="n">
        <x:v>4.8</x:v>
      </x:c>
      <x:c r="O2" s="10" t="n">
        <x:v>100.2</x:v>
      </x:c>
      <x:c r="P2" s="10" t="n">
        <x:v>3.7</x:v>
      </x:c>
      <x:c r="Q2" s="10" t="str">
        <x:v>Milk kept away from fruit, meat/fish, added salt, onion and garlic; breakfast seed mix is eaten separately from the milk/grain bowl.</x:v>
      </x:c>
      <x:c r="R2" t="n">
        <x:v>4.8</x:v>
      </x:c>
      <x:c r="S2" t="n">
        <x:v>218</x:v>
      </x:c>
    </x:row>
    <x:row r="3" ht="76" customHeight="1">
      <x:c r="A3" s="10" t="str">
        <x:v>Day 1</x:v>
      </x:c>
      <x:c r="B3" s="10" t="str">
        <x:v>Mid-morning fruit</x:v>
      </x:c>
      <x:c r="C3" s="10" t="str">
        <x:v>Papaya [CF] 150 g
Eat alone; ≥2 h after breakfast and ≥2 h before lunch</x:v>
      </x:c>
      <x:c r="D3" s="10" t="n">
        <x:v>64.5</x:v>
      </x:c>
      <x:c r="E3" s="10" t="n">
        <x:v>0.8</x:v>
      </x:c>
      <x:c r="F3" s="10" t="n">
        <x:v>16.2</x:v>
      </x:c>
      <x:c r="G3" s="10" t="n">
        <x:v>2.5</x:v>
      </x:c>
      <x:c r="H3" s="10" t="n">
        <x:v>0.4</x:v>
      </x:c>
      <x:c r="I3" s="10" t="n">
        <x:v>30</x:v>
      </x:c>
      <x:c r="J3" s="10" t="n">
        <x:v>0.4</x:v>
      </x:c>
      <x:c r="K3" s="10" t="n">
        <x:v>31.5</x:v>
      </x:c>
      <x:c r="L3" s="10" t="n">
        <x:v>273</x:v>
      </x:c>
      <x:c r="M3" s="10" t="n">
        <x:v>0</x:v>
      </x:c>
      <x:c r="N3" s="10" t="n">
        <x:v>0</x:v>
      </x:c>
      <x:c r="O3" s="10" t="n">
        <x:v>55.5</x:v>
      </x:c>
      <x:c r="P3" s="10" t="n">
        <x:v>0</x:v>
      </x:c>
      <x:c r="Q3" s="10" t="str">
        <x:v>Fruit eaten alone, separated from dairy and main meals.</x:v>
      </x:c>
      <x:c r="R3" t="n">
        <x:v>0.12</x:v>
      </x:c>
      <x:c r="S3" t="n">
        <x:v>0</x:v>
      </x:c>
    </x:row>
    <x:row r="4" ht="76" customHeight="1">
      <x:c r="A4" s="10" t="str">
        <x:v>Day 1</x:v>
      </x:c>
      <x:c r="B4" s="10" t="str">
        <x:v>Lunch</x:v>
      </x:c>
      <x:c r="C4" s="10" t="str">
        <x:v>Chicken breast 100 g
ICAN cod liver 20 g
Rice (dry) 45 g
Toor dal (dry) 35 g
Asparagus [CF] 100 g
Cauliflower [CF] 150 g
Onion [CF] 40 g
Sesame seeds 12 g
Cooking oil 3 g
No milk/curd/yogurt</x:v>
      </x:c>
      <x:c r="D4" s="10" t="n">
        <x:v>663.5</x:v>
      </x:c>
      <x:c r="E4" s="10" t="n">
        <x:v>42.6</x:v>
      </x:c>
      <x:c r="F4" s="10" t="n">
        <x:v>76.3</x:v>
      </x:c>
      <x:c r="G4" s="10" t="n">
        <x:v>13</x:v>
      </x:c>
      <x:c r="H4" s="10" t="n">
        <x:v>22</x:v>
      </x:c>
      <x:c r="I4" s="10" t="n">
        <x:v>246.3</x:v>
      </x:c>
      <x:c r="J4" s="10" t="n">
        <x:v>7.1</x:v>
      </x:c>
      <x:c r="K4" s="10" t="n">
        <x:v>185.9</x:v>
      </x:c>
      <x:c r="L4" s="10" t="n">
        <x:v>1638</x:v>
      </x:c>
      <x:c r="M4" s="10" t="n">
        <x:v>0.3</x:v>
      </x:c>
      <x:c r="N4" s="10" t="n">
        <x:v>29.3</x:v>
      </x:c>
      <x:c r="O4" s="10" t="n">
        <x:v>323.9</x:v>
      </x:c>
      <x:c r="P4" s="10" t="n">
        <x:v>0.7</x:v>
      </x:c>
      <x:c r="Q4" s="10" t="str">
        <x:v>No dairy with non-veg; no fruit; no honey/ghee; dinner has no curd/yogurt.</x:v>
      </x:c>
      <x:c r="R4" t="n">
        <x:v>5.39</x:v>
      </x:c>
      <x:c r="S4" t="n">
        <x:v>1413.7</x:v>
      </x:c>
    </x:row>
    <x:row r="5" ht="76" customHeight="1">
      <x:c r="A5" s="10" t="str">
        <x:v>Day 1</x:v>
      </x:c>
      <x:c r="B5" s="10" t="str">
        <x:v>Dinner</x:v>
      </x:c>
      <x:c r="C5" s="10" t="str">
        <x:v>Chicken breast 100 g
Rice (dry) 40 g
Cabbage [CF] 150 g
Carrots [CF] 100 g
Mushrooms [CF] 100 g
Frozen sweet peas [CF] 60 g
Sesame seeds 10 g
Cooking oil 3 g
No milk/curd/yogurt</x:v>
      </x:c>
      <x:c r="D5" s="10" t="n">
        <x:v>498.9</x:v>
      </x:c>
      <x:c r="E5" s="10" t="n">
        <x:v>36.3</x:v>
      </x:c>
      <x:c r="F5" s="10" t="n">
        <x:v>64.6</x:v>
      </x:c>
      <x:c r="G5" s="10" t="n">
        <x:v>12.3</x:v>
      </x:c>
      <x:c r="H5" s="10" t="n">
        <x:v>11.7</x:v>
      </x:c>
      <x:c r="I5" s="10" t="n">
        <x:v>224.7</x:v>
      </x:c>
      <x:c r="J5" s="10" t="n">
        <x:v>4.6</x:v>
      </x:c>
      <x:c r="K5" s="10" t="n">
        <x:v>131.9</x:v>
      </x:c>
      <x:c r="L5" s="10" t="n">
        <x:v>1466.2</x:v>
      </x:c>
      <x:c r="M5" s="10" t="n">
        <x:v>0.3</x:v>
      </x:c>
      <x:c r="N5" s="10" t="n">
        <x:v>0.3</x:v>
      </x:c>
      <x:c r="O5" s="10" t="n">
        <x:v>156.4</x:v>
      </x:c>
      <x:c r="P5" s="10" t="n">
        <x:v>0.3</x:v>
      </x:c>
      <x:c r="Q5" s="10" t="str">
        <x:v>No dairy with non-veg; no fruit; no honey/ghee; dinner has no curd/yogurt.</x:v>
      </x:c>
      <x:c r="R5" t="n">
        <x:v>1.93</x:v>
      </x:c>
      <x:c r="S5" t="n">
        <x:v>5</x:v>
      </x:c>
    </x:row>
    <x:row r="6" ht="76" customHeight="1">
      <x:c r="A6" s="10" t="str">
        <x:v>Day 2</x:v>
      </x:c>
      <x:c r="B6" s="10" t="str">
        <x:v>Breakfast</x:v>
      </x:c>
      <x:c r="C6" s="10" t="str">
        <x:v>Ragi flour 45 g
Low-fat milk 300 ml
Whole eggs 1
Egg whites 50 g
SEPARATE SEED SIDE:
Sesame seeds 5 g
Hemp hearts 5 g
Chia seeds 5 g
No added salt; no onion/garlic in this milk-containing meal
Do not mix seeds into the milk/ragi bowl</x:v>
      </x:c>
      <x:c r="D6" s="10" t="n">
        <x:v>455.3</x:v>
      </x:c>
      <x:c r="E6" s="10" t="n">
        <x:v>28.5</x:v>
      </x:c>
      <x:c r="F6" s="10" t="n">
        <x:v>51.9</x:v>
      </x:c>
      <x:c r="G6" s="10" t="n">
        <x:v>7.7</x:v>
      </x:c>
      <x:c r="H6" s="10" t="n">
        <x:v>14.9</x:v>
      </x:c>
      <x:c r="I6" s="10" t="n">
        <x:v>645.1</x:v>
      </x:c>
      <x:c r="J6" s="10" t="n">
        <x:v>4.3</x:v>
      </x:c>
      <x:c r="K6" s="10" t="n">
        <x:v>175.4</x:v>
      </x:c>
      <x:c r="L6" s="10" t="n">
        <x:v>887.9</x:v>
      </x:c>
      <x:c r="M6" s="10" t="n">
        <x:v>1.8</x:v>
      </x:c>
      <x:c r="N6" s="10" t="n">
        <x:v>4.6</x:v>
      </x:c>
      <x:c r="O6" s="10" t="n">
        <x:v>72.2</x:v>
      </x:c>
      <x:c r="P6" s="10" t="n">
        <x:v>1.6</x:v>
      </x:c>
      <x:c r="Q6" s="10" t="str">
        <x:v>Milk kept away from fruit, meat/fish, added salt, onion and garlic; breakfast seed mix is eaten separately from the milk/grain bowl.</x:v>
      </x:c>
      <x:c r="R6" t="n">
        <x:v>4.33</x:v>
      </x:c>
      <x:c r="S6" t="n">
        <x:v>218</x:v>
      </x:c>
    </x:row>
    <x:row r="7" ht="76" customHeight="1">
      <x:c r="A7" s="10" t="str">
        <x:v>Day 2</x:v>
      </x:c>
      <x:c r="B7" s="10" t="str">
        <x:v>Mid-morning fruit</x:v>
      </x:c>
      <x:c r="C7" s="10" t="str">
        <x:v>Kiwi [CF] 150 g
Eat alone; ≥2 h after breakfast and ≥2 h before lunch</x:v>
      </x:c>
      <x:c r="D7" s="10" t="n">
        <x:v>91.5</x:v>
      </x:c>
      <x:c r="E7" s="10" t="n">
        <x:v>1.7</x:v>
      </x:c>
      <x:c r="F7" s="10" t="n">
        <x:v>22</x:v>
      </x:c>
      <x:c r="G7" s="10" t="n">
        <x:v>4.5</x:v>
      </x:c>
      <x:c r="H7" s="10" t="n">
        <x:v>0.8</x:v>
      </x:c>
      <x:c r="I7" s="10" t="n">
        <x:v>51</x:v>
      </x:c>
      <x:c r="J7" s="10" t="n">
        <x:v>0.5</x:v>
      </x:c>
      <x:c r="K7" s="10" t="n">
        <x:v>25.5</x:v>
      </x:c>
      <x:c r="L7" s="10" t="n">
        <x:v>468</x:v>
      </x:c>
      <x:c r="M7" s="10" t="n">
        <x:v>0</x:v>
      </x:c>
      <x:c r="N7" s="10" t="n">
        <x:v>0</x:v>
      </x:c>
      <x:c r="O7" s="10" t="n">
        <x:v>37.5</x:v>
      </x:c>
      <x:c r="P7" s="10" t="n">
        <x:v>0.1</x:v>
      </x:c>
      <x:c r="Q7" s="10" t="str">
        <x:v>Fruit eaten alone, separated from dairy and main meals.</x:v>
      </x:c>
      <x:c r="R7" t="n">
        <x:v>0.04</x:v>
      </x:c>
      <x:c r="S7" t="n">
        <x:v>0</x:v>
      </x:c>
    </x:row>
    <x:row r="8" ht="76" customHeight="1">
      <x:c r="A8" s="10" t="str">
        <x:v>Day 2</x:v>
      </x:c>
      <x:c r="B8" s="10" t="str">
        <x:v>Lunch</x:v>
      </x:c>
      <x:c r="C8" s="10" t="str">
        <x:v>Chicken breast 100 g
Rajma (dry) 45 g
Rice (dry) 40 g
Cabbage [CF] 150 g
Cauliflower [CF] 150 g
Onion [CF] 50 g
Sesame seeds 10 g
Cooking oil 3 g
No milk/curd/yogurt</x:v>
      </x:c>
      <x:c r="D8" s="10" t="n">
        <x:v>594.7</x:v>
      </x:c>
      <x:c r="E8" s="10" t="n">
        <x:v>43.1</x:v>
      </x:c>
      <x:c r="F8" s="10" t="n">
        <x:v>82.2</x:v>
      </x:c>
      <x:c r="G8" s="10" t="n">
        <x:v>20.5</x:v>
      </x:c>
      <x:c r="H8" s="10" t="n">
        <x:v>11.9</x:v>
      </x:c>
      <x:c r="I8" s="10" t="n">
        <x:v>282.6</x:v>
      </x:c>
      <x:c r="J8" s="10" t="n">
        <x:v>7.3</x:v>
      </x:c>
      <x:c r="K8" s="10" t="n">
        <x:v>181.6</x:v>
      </x:c>
      <x:c r="L8" s="10" t="n">
        <x:v>1836</x:v>
      </x:c>
      <x:c r="M8" s="10" t="n">
        <x:v>0.3</x:v>
      </x:c>
      <x:c r="N8" s="10" t="n">
        <x:v>0.1</x:v>
      </x:c>
      <x:c r="O8" s="10" t="n">
        <x:v>353.7</x:v>
      </x:c>
      <x:c r="P8" s="10" t="n">
        <x:v>0.3</x:v>
      </x:c>
      <x:c r="Q8" s="10" t="str">
        <x:v>No dairy with non-veg; no fruit; no honey/ghee; dinner has no curd/yogurt.</x:v>
      </x:c>
      <x:c r="R8" t="n">
        <x:v>2.06</x:v>
      </x:c>
      <x:c r="S8" t="n">
        <x:v>5</x:v>
      </x:c>
    </x:row>
    <x:row r="9" ht="76" customHeight="1">
      <x:c r="A9" s="10" t="str">
        <x:v>Day 2</x:v>
      </x:c>
      <x:c r="B9" s="10" t="str">
        <x:v>Dinner</x:v>
      </x:c>
      <x:c r="C9" s="10" t="str">
        <x:v>Whole eggs 2
Egg whites 150 g
Moong dal (dry) 40 g
Asparagus [CF] 120 g
Mushrooms [CF] 150 g
Carrots [CF] 100 g
Rice (dry) 35 g
Sesame seeds 10 g
Cooking oil 3 g
No milk/curd/yogurt</x:v>
      </x:c>
      <x:c r="D9" s="10" t="n">
        <x:v>669.4</x:v>
      </x:c>
      <x:c r="E9" s="10" t="n">
        <x:v>51</x:v>
      </x:c>
      <x:c r="F9" s="10" t="n">
        <x:v>76.4</x:v>
      </x:c>
      <x:c r="G9" s="10" t="n">
        <x:v>15</x:v>
      </x:c>
      <x:c r="H9" s="10" t="n">
        <x:v>19.3</x:v>
      </x:c>
      <x:c r="I9" s="10" t="n">
        <x:v>292.9</x:v>
      </x:c>
      <x:c r="J9" s="10" t="n">
        <x:v>9.9</x:v>
      </x:c>
      <x:c r="K9" s="10" t="n">
        <x:v>190.2</x:v>
      </x:c>
      <x:c r="L9" s="10" t="n">
        <x:v>2007.4</x:v>
      </x:c>
      <x:c r="M9" s="10" t="n">
        <x:v>1.1</x:v>
      </x:c>
      <x:c r="N9" s="10" t="n">
        <x:v>2.3</x:v>
      </x:c>
      <x:c r="O9" s="10" t="n">
        <x:v>422.4</x:v>
      </x:c>
      <x:c r="P9" s="10" t="n">
        <x:v>0.4</x:v>
      </x:c>
      <x:c r="Q9" s="10" t="str">
        <x:v>No dairy with non-veg; no fruit; no honey/ghee; dinner has no curd/yogurt.</x:v>
      </x:c>
      <x:c r="R9" t="n">
        <x:v>4.61</x:v>
      </x:c>
      <x:c r="S9" t="n">
        <x:v>160</x:v>
      </x:c>
    </x:row>
    <x:row r="10" ht="76" customHeight="1">
      <x:c r="A10" s="10" t="str">
        <x:v>Day 3</x:v>
      </x:c>
      <x:c r="B10" s="10" t="str">
        <x:v>Breakfast</x:v>
      </x:c>
      <x:c r="C10" s="10" t="str">
        <x:v>Oats 37 g
Low-fat milk 300 ml
Whole eggs 2
Egg whites 50 g
SEPARATE SEED SIDE:
Chia seeds 5 g
Pumpkin seeds 5 g
Sunflower seeds 5 g
No added salt; no onion/garlic in this milk-containing meal
Do not mix seeds into the milk/oats</x:v>
      </x:c>
      <x:c r="D10" s="10" t="n">
        <x:v>515.9</x:v>
      </x:c>
      <x:c r="E10" s="10" t="n">
        <x:v>36.2</x:v>
      </x:c>
      <x:c r="F10" s="10" t="n">
        <x:v>44.8</x:v>
      </x:c>
      <x:c r="G10" s="10" t="n">
        <x:v>6.2</x:v>
      </x:c>
      <x:c r="H10" s="10" t="n">
        <x:v>21.5</x:v>
      </x:c>
      <x:c r="I10" s="10" t="n">
        <x:v>491.3</x:v>
      </x:c>
      <x:c r="J10" s="10" t="n">
        <x:v>4.5</x:v>
      </x:c>
      <x:c r="K10" s="10" t="n">
        <x:v>161</x:v>
      </x:c>
      <x:c r="L10" s="10" t="n">
        <x:v>896.6</x:v>
      </x:c>
      <x:c r="M10" s="10" t="n">
        <x:v>2.3</x:v>
      </x:c>
      <x:c r="N10" s="10" t="n">
        <x:v>5.6</x:v>
      </x:c>
      <x:c r="O10" s="10" t="n">
        <x:v>101.4</x:v>
      </x:c>
      <x:c r="P10" s="10" t="n">
        <x:v>1.2</x:v>
      </x:c>
      <x:c r="Q10" s="10" t="str">
        <x:v>Milk kept away from fruit, meat/fish, added salt, onion and garlic; breakfast seed mix is eaten separately from the milk/grain bowl.</x:v>
      </x:c>
      <x:c r="R10" t="n">
        <x:v>6.29</x:v>
      </x:c>
      <x:c r="S10" t="n">
        <x:v>298</x:v>
      </x:c>
    </x:row>
    <x:row r="11" ht="76" customHeight="1">
      <x:c r="A11" s="10" t="str">
        <x:v>Day 3</x:v>
      </x:c>
      <x:c r="B11" s="10" t="str">
        <x:v>Mid-morning fruit</x:v>
      </x:c>
      <x:c r="C11" s="10" t="str">
        <x:v>Pineapple [CF] 150 g
Eat alone; ≥2 h after breakfast and ≥2 h before lunch</x:v>
      </x:c>
      <x:c r="D11" s="10" t="n">
        <x:v>75</x:v>
      </x:c>
      <x:c r="E11" s="10" t="n">
        <x:v>0.8</x:v>
      </x:c>
      <x:c r="F11" s="10" t="n">
        <x:v>19.6</x:v>
      </x:c>
      <x:c r="G11" s="10" t="n">
        <x:v>2.1</x:v>
      </x:c>
      <x:c r="H11" s="10" t="n">
        <x:v>0.2</x:v>
      </x:c>
      <x:c r="I11" s="10" t="n">
        <x:v>19.5</x:v>
      </x:c>
      <x:c r="J11" s="10" t="n">
        <x:v>0.4</x:v>
      </x:c>
      <x:c r="K11" s="10" t="n">
        <x:v>18</x:v>
      </x:c>
      <x:c r="L11" s="10" t="n">
        <x:v>163.5</x:v>
      </x:c>
      <x:c r="M11" s="10" t="n">
        <x:v>0</x:v>
      </x:c>
      <x:c r="N11" s="10" t="n">
        <x:v>0</x:v>
      </x:c>
      <x:c r="O11" s="10" t="n">
        <x:v>27</x:v>
      </x:c>
      <x:c r="P11" s="10" t="n">
        <x:v>0</x:v>
      </x:c>
      <x:c r="Q11" s="10" t="str">
        <x:v>Fruit eaten alone, separated from dairy and main meals.</x:v>
      </x:c>
      <x:c r="R11" t="n">
        <x:v>0.01</x:v>
      </x:c>
      <x:c r="S11" t="n">
        <x:v>0</x:v>
      </x:c>
    </x:row>
    <x:row r="12" ht="76" customHeight="1">
      <x:c r="A12" s="10" t="str">
        <x:v>Day 3</x:v>
      </x:c>
      <x:c r="B12" s="10" t="str">
        <x:v>Lunch</x:v>
      </x:c>
      <x:c r="C12" s="10" t="str">
        <x:v>Chicken breast 100 g
Moong dal (dry) 35 g
Rice (dry) 35 g
Asparagus [CF] 100 g
Cabbage [CF] 150 g
Cauliflower [CF] 100 g
Onion [CF] 40 g
Sesame seeds 10 g
Cooking oil 2 g
No milk/curd/yogurt</x:v>
      </x:c>
      <x:c r="D12" s="10" t="n">
        <x:v>542.7</x:v>
      </x:c>
      <x:c r="E12" s="10" t="n">
        <x:v>41.6</x:v>
      </x:c>
      <x:c r="F12" s="10" t="n">
        <x:v>73.6</x:v>
      </x:c>
      <x:c r="G12" s="10" t="n">
        <x:v>15.9</x:v>
      </x:c>
      <x:c r="H12" s="10" t="n">
        <x:v>10.8</x:v>
      </x:c>
      <x:c r="I12" s="10" t="n">
        <x:v>273.7</x:v>
      </x:c>
      <x:c r="J12" s="10" t="n">
        <x:v>7.8</x:v>
      </x:c>
      <x:c r="K12" s="10" t="n">
        <x:v>189</x:v>
      </x:c>
      <x:c r="L12" s="10" t="n">
        <x:v>1671.5</x:v>
      </x:c>
      <x:c r="M12" s="10" t="n">
        <x:v>0.3</x:v>
      </x:c>
      <x:c r="N12" s="10" t="n">
        <x:v>0.1</x:v>
      </x:c>
      <x:c r="O12" s="10" t="n">
        <x:v>416.4</x:v>
      </x:c>
      <x:c r="P12" s="10" t="n">
        <x:v>0.5</x:v>
      </x:c>
      <x:c r="Q12" s="10" t="str">
        <x:v>No dairy with non-veg; no fruit; no honey/ghee; dinner has no curd/yogurt.</x:v>
      </x:c>
      <x:c r="R12" t="n">
        <x:v>1.95</x:v>
      </x:c>
      <x:c r="S12" t="n">
        <x:v>5</x:v>
      </x:c>
    </x:row>
    <x:row r="13" ht="76" customHeight="1">
      <x:c r="A13" s="10" t="str">
        <x:v>Day 3</x:v>
      </x:c>
      <x:c r="B13" s="10" t="str">
        <x:v>Dinner</x:v>
      </x:c>
      <x:c r="C13" s="10" t="str">
        <x:v>Whole eggs 1
Egg whites 150 g
Chickpeas (dry) 40 g
Ragi flour 45 g
Mushrooms [CF] 150 g
Cabbage [CF] 150 g
Frozen sweet peas [CF] 60 g
Sesame seeds 10 g
Cooking oil 2 g
No milk/curd/yogurt</x:v>
      </x:c>
      <x:c r="D13" s="10" t="n">
        <x:v>646</x:v>
      </x:c>
      <x:c r="E13" s="10" t="n">
        <x:v>45.7</x:v>
      </x:c>
      <x:c r="F13" s="10" t="n">
        <x:v>83.7</x:v>
      </x:c>
      <x:c r="G13" s="10" t="n">
        <x:v>19.5</x:v>
      </x:c>
      <x:c r="H13" s="10" t="n">
        <x:v>15.8</x:v>
      </x:c>
      <x:c r="I13" s="10" t="n">
        <x:v>393.1</x:v>
      </x:c>
      <x:c r="J13" s="10" t="n">
        <x:v>8.3</x:v>
      </x:c>
      <x:c r="K13" s="10" t="n">
        <x:v>202.2</x:v>
      </x:c>
      <x:c r="L13" s="10" t="n">
        <x:v>1709.5</x:v>
      </x:c>
      <x:c r="M13" s="10" t="n">
        <x:v>0.6</x:v>
      </x:c>
      <x:c r="N13" s="10" t="n">
        <x:v>1.3</x:v>
      </x:c>
      <x:c r="O13" s="10" t="n">
        <x:v>409.9</x:v>
      </x:c>
      <x:c r="P13" s="10" t="n">
        <x:v>0.3</x:v>
      </x:c>
      <x:c r="Q13" s="10" t="str">
        <x:v>No dairy with non-veg; no fruit; no honey/ghee; dinner has no curd/yogurt.</x:v>
      </x:c>
      <x:c r="R13" t="n">
        <x:v>3.08</x:v>
      </x:c>
      <x:c r="S13" t="n">
        <x:v>80</x:v>
      </x:c>
    </x:row>
    <x:row r="14" ht="76" customHeight="1">
      <x:c r="A14" s="10" t="str">
        <x:v>Day 4</x:v>
      </x:c>
      <x:c r="B14" s="10" t="str">
        <x:v>Breakfast</x:v>
      </x:c>
      <x:c r="C14" s="10" t="str">
        <x:v>Oats 37 g
Low-fat milk 300 ml
Whole eggs 1
Egg whites 50 g
SEPARATE SEED SIDE:
Ground flaxseed 5 g
Hemp hearts 5 g
Sunflower seeds 5 g
No added salt; no onion/garlic in this milk-containing meal
Do not mix seeds into the milk/oats</x:v>
      </x:c>
      <x:c r="D14" s="10" t="n">
        <x:v>446.5</x:v>
      </x:c>
      <x:c r="E14" s="10" t="n">
        <x:v>30</x:v>
      </x:c>
      <x:c r="F14" s="10" t="n">
        <x:v>43.8</x:v>
      </x:c>
      <x:c r="G14" s="10" t="n">
        <x:v>5.7</x:v>
      </x:c>
      <x:c r="H14" s="10" t="n">
        <x:v>17.3</x:v>
      </x:c>
      <x:c r="I14" s="10" t="n">
        <x:v>445.7</x:v>
      </x:c>
      <x:c r="J14" s="10" t="n">
        <x:v>3.5</x:v>
      </x:c>
      <x:c r="K14" s="10" t="n">
        <x:v>163.3</x:v>
      </x:c>
      <x:c r="L14" s="10" t="n">
        <x:v>862</x:v>
      </x:c>
      <x:c r="M14" s="10" t="n">
        <x:v>1.8</x:v>
      </x:c>
      <x:c r="N14" s="10" t="n">
        <x:v>4.6</x:v>
      </x:c>
      <x:c r="O14" s="10" t="n">
        <x:v>82.4</x:v>
      </x:c>
      <x:c r="P14" s="10" t="n">
        <x:v>1.8</x:v>
      </x:c>
      <x:c r="Q14" s="10" t="str">
        <x:v>Milk kept away from fruit, meat/fish, added salt, onion and garlic; breakfast seed mix is eaten separately from the milk/grain bowl.</x:v>
      </x:c>
      <x:c r="R14" t="n">
        <x:v>4.54</x:v>
      </x:c>
      <x:c r="S14" t="n">
        <x:v>218</x:v>
      </x:c>
    </x:row>
    <x:row r="15" ht="76" customHeight="1">
      <x:c r="A15" s="10" t="str">
        <x:v>Day 4</x:v>
      </x:c>
      <x:c r="B15" s="10" t="str">
        <x:v>Mid-morning fruit</x:v>
      </x:c>
      <x:c r="C15" s="10" t="str">
        <x:v>Mango [CF] 150 g
Eat alone; ≥2 h after breakfast and ≥2 h before lunch</x:v>
      </x:c>
      <x:c r="D15" s="10" t="n">
        <x:v>90</x:v>
      </x:c>
      <x:c r="E15" s="10" t="n">
        <x:v>1.2</x:v>
      </x:c>
      <x:c r="F15" s="10" t="n">
        <x:v>22.5</x:v>
      </x:c>
      <x:c r="G15" s="10" t="n">
        <x:v>2.4</x:v>
      </x:c>
      <x:c r="H15" s="10" t="n">
        <x:v>0.6</x:v>
      </x:c>
      <x:c r="I15" s="10" t="n">
        <x:v>16.5</x:v>
      </x:c>
      <x:c r="J15" s="10" t="n">
        <x:v>0.2</x:v>
      </x:c>
      <x:c r="K15" s="10" t="n">
        <x:v>15</x:v>
      </x:c>
      <x:c r="L15" s="10" t="n">
        <x:v>252</x:v>
      </x:c>
      <x:c r="M15" s="10" t="n">
        <x:v>0</x:v>
      </x:c>
      <x:c r="N15" s="10" t="n">
        <x:v>0</x:v>
      </x:c>
      <x:c r="O15" s="10" t="n">
        <x:v>64.5</x:v>
      </x:c>
      <x:c r="P15" s="10" t="n">
        <x:v>0.1</x:v>
      </x:c>
      <x:c r="Q15" s="10" t="str">
        <x:v>Fruit eaten alone, separated from dairy and main meals.</x:v>
      </x:c>
      <x:c r="R15" t="n">
        <x:v>0.14</x:v>
      </x:c>
      <x:c r="S15" t="n">
        <x:v>0</x:v>
      </x:c>
    </x:row>
    <x:row r="16" ht="76" customHeight="1">
      <x:c r="A16" s="10" t="str">
        <x:v>Day 4</x:v>
      </x:c>
      <x:c r="B16" s="10" t="str">
        <x:v>Lunch</x:v>
      </x:c>
      <x:c r="C16" s="10" t="str">
        <x:v>Tilapia fillet 160 g
Chickpeas (dry) 40 g
Rice (dry) 40 g
Asparagus [CF] 120 g
Cauliflower [CF] 150 g
Carrots [CF] 100 g
Onion [CF] 40 g
Sesame seeds 15 g
Cooking oil 3 g
No milk/curd/yogurt</x:v>
      </x:c>
      <x:c r="D16" s="10" t="n">
        <x:v>681.8</x:v>
      </x:c>
      <x:c r="E16" s="10" t="n">
        <x:v>52.7</x:v>
      </x:c>
      <x:c r="F16" s="10" t="n">
        <x:v>86.2</x:v>
      </x:c>
      <x:c r="G16" s="10" t="n">
        <x:v>16.2</x:v>
      </x:c>
      <x:c r="H16" s="10" t="n">
        <x:v>16.7</x:v>
      </x:c>
      <x:c r="I16" s="10" t="n">
        <x:v>300.2</x:v>
      </x:c>
      <x:c r="J16" s="10" t="n">
        <x:v>8.7</x:v>
      </x:c>
      <x:c r="K16" s="10" t="n">
        <x:v>192.8</x:v>
      </x:c>
      <x:c r="L16" s="10" t="n">
        <x:v>1955.9</x:v>
      </x:c>
      <x:c r="M16" s="10" t="n">
        <x:v>2.6</x:v>
      </x:c>
      <x:c r="N16" s="10" t="n">
        <x:v>5</x:v>
      </x:c>
      <x:c r="O16" s="10" t="n">
        <x:v>453.5</x:v>
      </x:c>
      <x:c r="P16" s="10" t="n">
        <x:v>0.6</x:v>
      </x:c>
      <x:c r="Q16" s="10" t="str">
        <x:v>No dairy with non-veg; no fruit; no honey/ghee; dinner has no curd/yogurt.</x:v>
      </x:c>
      <x:c r="R16" t="n">
        <x:v>3.02</x:v>
      </x:c>
      <x:c r="S16" t="n">
        <x:v>0</x:v>
      </x:c>
    </x:row>
    <x:row r="17" ht="76" customHeight="1">
      <x:c r="A17" s="10" t="str">
        <x:v>Day 4</x:v>
      </x:c>
      <x:c r="B17" s="10" t="str">
        <x:v>Dinner</x:v>
      </x:c>
      <x:c r="C17" s="10" t="str">
        <x:v>Chicken breast 100 g
Moong dal (dry) 35 g
Rice (dry) 40 g
Cabbage [CF] 150 g
Mushrooms [CF] 150 g
Frozen sweet peas [CF] 60 g
Sesame seeds 10 g
Cooking oil 3 g
No milk/curd/yogurt</x:v>
      </x:c>
      <x:c r="D17" s="10" t="n">
        <x:v>590.4</x:v>
      </x:c>
      <x:c r="E17" s="10" t="n">
        <x:v>45.3</x:v>
      </x:c>
      <x:c r="F17" s="10" t="n">
        <x:v>78.6</x:v>
      </x:c>
      <x:c r="G17" s="10" t="n">
        <x:v>15.7</x:v>
      </x:c>
      <x:c r="H17" s="10" t="n">
        <x:v>12.1</x:v>
      </x:c>
      <x:c r="I17" s="10" t="n">
        <x:v>239.4</x:v>
      </x:c>
      <x:c r="J17" s="10" t="n">
        <x:v>6.9</x:v>
      </x:c>
      <x:c r="K17" s="10" t="n">
        <x:v>190.5</x:v>
      </x:c>
      <x:c r="L17" s="10" t="n">
        <x:v>1741.3</x:v>
      </x:c>
      <x:c r="M17" s="10" t="n">
        <x:v>0.4</x:v>
      </x:c>
      <x:c r="N17" s="10" t="n">
        <x:v>0.4</x:v>
      </x:c>
      <x:c r="O17" s="10" t="n">
        <x:v>364.6</x:v>
      </x:c>
      <x:c r="P17" s="10" t="n">
        <x:v>0.4</x:v>
      </x:c>
      <x:c r="Q17" s="10" t="str">
        <x:v>No dairy with non-veg; no fruit; no honey/ghee; dinner has no curd/yogurt.</x:v>
      </x:c>
      <x:c r="R17" t="n">
        <x:v>2.03</x:v>
      </x:c>
      <x:c r="S17" t="n">
        <x:v>5</x:v>
      </x:c>
    </x:row>
    <x:row r="18" ht="76" customHeight="1">
      <x:c r="A18" s="10" t="str">
        <x:v>Day 5</x:v>
      </x:c>
      <x:c r="B18" s="10" t="str">
        <x:v>Breakfast</x:v>
      </x:c>
      <x:c r="C18" s="10" t="str">
        <x:v>Ragi flour 45 g
Low-fat milk 300 ml
Whole eggs 1
Egg whites 50 g
SEPARATE SEED SIDE:
Sesame seeds 5 g
Sunflower seeds 5 g
Chia seeds 5 g
No added salt; no onion/garlic in this milk-containing meal
Do not mix seeds into the milk/ragi bowl</x:v>
      </x:c>
      <x:c r="D18" s="10" t="n">
        <x:v>456.9</x:v>
      </x:c>
      <x:c r="E18" s="10" t="n">
        <x:v>28</x:v>
      </x:c>
      <x:c r="F18" s="10" t="n">
        <x:v>52.4</x:v>
      </x:c>
      <x:c r="G18" s="10" t="n">
        <x:v>8</x:v>
      </x:c>
      <x:c r="H18" s="10" t="n">
        <x:v>15</x:v>
      </x:c>
      <x:c r="I18" s="10" t="n">
        <x:v>645.6</x:v>
      </x:c>
      <x:c r="J18" s="10" t="n">
        <x:v>4.1</x:v>
      </x:c>
      <x:c r="K18" s="10" t="n">
        <x:v>156.7</x:v>
      </x:c>
      <x:c r="L18" s="10" t="n">
        <x:v>860.2</x:v>
      </x:c>
      <x:c r="M18" s="10" t="n">
        <x:v>1.8</x:v>
      </x:c>
      <x:c r="N18" s="10" t="n">
        <x:v>4.6</x:v>
      </x:c>
      <x:c r="O18" s="10" t="n">
        <x:v>78.1</x:v>
      </x:c>
      <x:c r="P18" s="10" t="n">
        <x:v>1.1</x:v>
      </x:c>
      <x:c r="Q18" s="10" t="str">
        <x:v>Milk kept away from fruit, meat/fish, added salt, onion and garlic; breakfast seed mix is eaten separately from the milk/grain bowl.</x:v>
      </x:c>
      <x:c r="R18" t="n">
        <x:v>4.33</x:v>
      </x:c>
      <x:c r="S18" t="n">
        <x:v>218</x:v>
      </x:c>
    </x:row>
    <x:row r="19" ht="76" customHeight="1">
      <x:c r="A19" s="10" t="str">
        <x:v>Day 5</x:v>
      </x:c>
      <x:c r="B19" s="10" t="str">
        <x:v>Mid-morning fruit</x:v>
      </x:c>
      <x:c r="C19" s="10" t="str">
        <x:v>Papaya [CF] 150 g
Eat alone; ≥2 h after breakfast and ≥2 h before lunch</x:v>
      </x:c>
      <x:c r="D19" s="10" t="n">
        <x:v>64.5</x:v>
      </x:c>
      <x:c r="E19" s="10" t="n">
        <x:v>0.8</x:v>
      </x:c>
      <x:c r="F19" s="10" t="n">
        <x:v>16.2</x:v>
      </x:c>
      <x:c r="G19" s="10" t="n">
        <x:v>2.5</x:v>
      </x:c>
      <x:c r="H19" s="10" t="n">
        <x:v>0.4</x:v>
      </x:c>
      <x:c r="I19" s="10" t="n">
        <x:v>30</x:v>
      </x:c>
      <x:c r="J19" s="10" t="n">
        <x:v>0.4</x:v>
      </x:c>
      <x:c r="K19" s="10" t="n">
        <x:v>31.5</x:v>
      </x:c>
      <x:c r="L19" s="10" t="n">
        <x:v>273</x:v>
      </x:c>
      <x:c r="M19" s="10" t="n">
        <x:v>0</x:v>
      </x:c>
      <x:c r="N19" s="10" t="n">
        <x:v>0</x:v>
      </x:c>
      <x:c r="O19" s="10" t="n">
        <x:v>55.5</x:v>
      </x:c>
      <x:c r="P19" s="10" t="n">
        <x:v>0</x:v>
      </x:c>
      <x:c r="Q19" s="10" t="str">
        <x:v>Fruit eaten alone, separated from dairy and main meals.</x:v>
      </x:c>
      <x:c r="R19" t="n">
        <x:v>0.12</x:v>
      </x:c>
      <x:c r="S19" t="n">
        <x:v>0</x:v>
      </x:c>
    </x:row>
    <x:row r="20" ht="76" customHeight="1">
      <x:c r="A20" s="10" t="str">
        <x:v>Day 5</x:v>
      </x:c>
      <x:c r="B20" s="10" t="str">
        <x:v>Lunch</x:v>
      </x:c>
      <x:c r="C20" s="10" t="str">
        <x:v>Chicken breast 100 g
Masoor dal (dry) 40 g
Rice (dry) 35 g
Cauliflower [CF] 150 g
Cabbage [CF] 150 g
Carrots [CF] 100 g
Onion [CF] 40 g
Sesame seeds 10 g
Cooking oil 3 g
No milk/curd/yogurt</x:v>
      </x:c>
      <x:c r="D20" s="10" t="n">
        <x:v>604.4</x:v>
      </x:c>
      <x:c r="E20" s="10" t="n">
        <x:v>42.7</x:v>
      </x:c>
      <x:c r="F20" s="10" t="n">
        <x:v>85.2</x:v>
      </x:c>
      <x:c r="G20" s="10" t="n">
        <x:v>16.1</x:v>
      </x:c>
      <x:c r="H20" s="10" t="n">
        <x:v>12.1</x:v>
      </x:c>
      <x:c r="I20" s="10" t="n">
        <x:v>261.5</x:v>
      </x:c>
      <x:c r="J20" s="10" t="n">
        <x:v>6.4</x:v>
      </x:c>
      <x:c r="K20" s="10" t="n">
        <x:v>147.2</x:v>
      </x:c>
      <x:c r="L20" s="10" t="n">
        <x:v>1773.8</x:v>
      </x:c>
      <x:c r="M20" s="10" t="n">
        <x:v>0.3</x:v>
      </x:c>
      <x:c r="N20" s="10" t="n">
        <x:v>0.1</x:v>
      </x:c>
      <x:c r="O20" s="10" t="n">
        <x:v>384.7</x:v>
      </x:c>
      <x:c r="P20" s="10" t="n">
        <x:v>0.3</x:v>
      </x:c>
      <x:c r="Q20" s="10" t="str">
        <x:v>No dairy with non-veg; no fruit; no honey/ghee; dinner has no curd/yogurt.</x:v>
      </x:c>
      <x:c r="R20" t="n">
        <x:v>2.1</x:v>
      </x:c>
      <x:c r="S20" t="n">
        <x:v>5</x:v>
      </x:c>
    </x:row>
    <x:row r="21" ht="76" customHeight="1">
      <x:c r="A21" s="10" t="str">
        <x:v>Day 5</x:v>
      </x:c>
      <x:c r="B21" s="10" t="str">
        <x:v>Dinner</x:v>
      </x:c>
      <x:c r="C21" s="10" t="str">
        <x:v>Whole eggs 2
Egg whites 150 g
Rajma (dry) 40 g
Asparagus [CF] 120 g
Mushrooms [CF] 150 g
Frozen sweet peas [CF] 60 g
Rice (dry) 30 g
Sesame seeds 10 g
Cooking oil 3 g
No milk/curd/yogurt</x:v>
      </x:c>
      <x:c r="D21" s="10" t="n">
        <x:v>653.1</x:v>
      </x:c>
      <x:c r="E21" s="10" t="n">
        <x:v>52.8</x:v>
      </x:c>
      <x:c r="F21" s="10" t="n">
        <x:v>70.4</x:v>
      </x:c>
      <x:c r="G21" s="10" t="n">
        <x:v>18.6</x:v>
      </x:c>
      <x:c r="H21" s="10" t="n">
        <x:v>19.1</x:v>
      </x:c>
      <x:c r="I21" s="10" t="n">
        <x:v>277.9</x:v>
      </x:c>
      <x:c r="J21" s="10" t="n">
        <x:v>11</x:v>
      </x:c>
      <x:c r="K21" s="10" t="n">
        <x:v>177.2</x:v>
      </x:c>
      <x:c r="L21" s="10" t="n">
        <x:v>1892</x:v>
      </x:c>
      <x:c r="M21" s="10" t="n">
        <x:v>1.1</x:v>
      </x:c>
      <x:c r="N21" s="10" t="n">
        <x:v>2.3</x:v>
      </x:c>
      <x:c r="O21" s="10" t="n">
        <x:v>349.6</x:v>
      </x:c>
      <x:c r="P21" s="10" t="n">
        <x:v>0.4</x:v>
      </x:c>
      <x:c r="Q21" s="10" t="str">
        <x:v>No dairy with non-veg; no fruit; no honey/ghee; dinner has no curd/yogurt.</x:v>
      </x:c>
      <x:c r="R21" t="n">
        <x:v>4.51</x:v>
      </x:c>
      <x:c r="S21" t="n">
        <x:v>160</x:v>
      </x:c>
    </x:row>
    <x:row r="22" ht="76" customHeight="1">
      <x:c r="A22" s="10" t="str">
        <x:v>Day 6</x:v>
      </x:c>
      <x:c r="B22" s="10" t="str">
        <x:v>Breakfast</x:v>
      </x:c>
      <x:c r="C22" s="10" t="str">
        <x:v>Oats 37 g
Low-fat milk 300 ml
Whole eggs 2
SEPARATE SEED SIDE:
Chia seeds 5 g
Hemp hearts 5 g
Pumpkin seeds 5 g
No added salt; no onion/garlic in this milk-containing meal
Do not mix seeds into the milk/oats</x:v>
      </x:c>
      <x:c r="D22" s="10" t="n">
        <x:v>488.4</x:v>
      </x:c>
      <x:c r="E22" s="10" t="n">
        <x:v>31.3</x:v>
      </x:c>
      <x:c r="F22" s="10" t="n">
        <x:v>44</x:v>
      </x:c>
      <x:c r="G22" s="10" t="n">
        <x:v>5.9</x:v>
      </x:c>
      <x:c r="H22" s="10" t="n">
        <x:v>21.3</x:v>
      </x:c>
      <x:c r="I22" s="10" t="n">
        <x:v>487.4</x:v>
      </x:c>
      <x:c r="J22" s="10" t="n">
        <x:v>4.6</x:v>
      </x:c>
      <x:c r="K22" s="10" t="n">
        <x:v>174.3</x:v>
      </x:c>
      <x:c r="L22" s="10" t="n">
        <x:v>842.9</x:v>
      </x:c>
      <x:c r="M22" s="10" t="n">
        <x:v>2.2</x:v>
      </x:c>
      <x:c r="N22" s="10" t="n">
        <x:v>5.6</x:v>
      </x:c>
      <x:c r="O22" s="10" t="n">
        <x:v>93.6</x:v>
      </x:c>
      <x:c r="P22" s="10" t="n">
        <x:v>1.6</x:v>
      </x:c>
      <x:c r="Q22" s="10" t="str">
        <x:v>Milk kept away from fruit, meat/fish, added salt, onion and garlic; breakfast seed mix is eaten separately from the milk/grain bowl.</x:v>
      </x:c>
      <x:c r="R22" t="n">
        <x:v>6.3</x:v>
      </x:c>
      <x:c r="S22" t="n">
        <x:v>298</x:v>
      </x:c>
    </x:row>
    <x:row r="23" ht="76" customHeight="1">
      <x:c r="A23" s="10" t="str">
        <x:v>Day 6</x:v>
      </x:c>
      <x:c r="B23" s="10" t="str">
        <x:v>Mid-morning fruit</x:v>
      </x:c>
      <x:c r="C23" s="10" t="str">
        <x:v>Kiwi [CF] 150 g
Eat alone; ≥2 h after breakfast and ≥2 h before lunch</x:v>
      </x:c>
      <x:c r="D23" s="10" t="n">
        <x:v>91.5</x:v>
      </x:c>
      <x:c r="E23" s="10" t="n">
        <x:v>1.7</x:v>
      </x:c>
      <x:c r="F23" s="10" t="n">
        <x:v>22</x:v>
      </x:c>
      <x:c r="G23" s="10" t="n">
        <x:v>4.5</x:v>
      </x:c>
      <x:c r="H23" s="10" t="n">
        <x:v>0.8</x:v>
      </x:c>
      <x:c r="I23" s="10" t="n">
        <x:v>51</x:v>
      </x:c>
      <x:c r="J23" s="10" t="n">
        <x:v>0.5</x:v>
      </x:c>
      <x:c r="K23" s="10" t="n">
        <x:v>25.5</x:v>
      </x:c>
      <x:c r="L23" s="10" t="n">
        <x:v>468</x:v>
      </x:c>
      <x:c r="M23" s="10" t="n">
        <x:v>0</x:v>
      </x:c>
      <x:c r="N23" s="10" t="n">
        <x:v>0</x:v>
      </x:c>
      <x:c r="O23" s="10" t="n">
        <x:v>37.5</x:v>
      </x:c>
      <x:c r="P23" s="10" t="n">
        <x:v>0.1</x:v>
      </x:c>
      <x:c r="Q23" s="10" t="str">
        <x:v>Fruit eaten alone, separated from dairy and main meals.</x:v>
      </x:c>
      <x:c r="R23" t="n">
        <x:v>0.04</x:v>
      </x:c>
      <x:c r="S23" t="n">
        <x:v>0</x:v>
      </x:c>
    </x:row>
    <x:row r="24" ht="76" customHeight="1">
      <x:c r="A24" s="10" t="str">
        <x:v>Day 6</x:v>
      </x:c>
      <x:c r="B24" s="10" t="str">
        <x:v>Lunch</x:v>
      </x:c>
      <x:c r="C24" s="10" t="str">
        <x:v>Chicken breast 100 g
Chickpeas (dry) 40 g
Rice (dry) 30 g
Cabbage [CF] 150 g
Cauliflower [CF] 150 g
Onion [CF] 50 g
Sesame seeds 10 g
Cooking oil 2 g
No milk/curd/yogurt</x:v>
      </x:c>
      <x:c r="D24" s="10" t="n">
        <x:v>550.7</x:v>
      </x:c>
      <x:c r="E24" s="10" t="n">
        <x:v>40</x:v>
      </x:c>
      <x:c r="F24" s="10" t="n">
        <x:v>72.4</x:v>
      </x:c>
      <x:c r="G24" s="10" t="n">
        <x:v>14</x:v>
      </x:c>
      <x:c r="H24" s="10" t="n">
        <x:v>12.8</x:v>
      </x:c>
      <x:c r="I24" s="10" t="n">
        <x:v>238.2</x:v>
      </x:c>
      <x:c r="J24" s="10" t="n">
        <x:v>5.2</x:v>
      </x:c>
      <x:c r="K24" s="10" t="n">
        <x:v>147.7</x:v>
      </x:c>
      <x:c r="L24" s="10" t="n">
        <x:v>1479</x:v>
      </x:c>
      <x:c r="M24" s="10" t="n">
        <x:v>0.3</x:v>
      </x:c>
      <x:c r="N24" s="10" t="n">
        <x:v>0.1</x:v>
      </x:c>
      <x:c r="O24" s="10" t="n">
        <x:v>398.4</x:v>
      </x:c>
      <x:c r="P24" s="10" t="n">
        <x:v>0.3</x:v>
      </x:c>
      <x:c r="Q24" s="10" t="str">
        <x:v>No dairy with non-veg; no fruit; no honey/ghee; dinner has no curd/yogurt.</x:v>
      </x:c>
      <x:c r="R24" t="n">
        <x:v>2.09</x:v>
      </x:c>
      <x:c r="S24" t="n">
        <x:v>5</x:v>
      </x:c>
    </x:row>
    <x:row r="25" ht="76" customHeight="1">
      <x:c r="A25" s="10" t="str">
        <x:v>Day 6</x:v>
      </x:c>
      <x:c r="B25" s="10" t="str">
        <x:v>Dinner</x:v>
      </x:c>
      <x:c r="C25" s="10" t="str">
        <x:v>Ocean perch fillet 160 g
Moong dal (dry) 35 g
Ragi flour 45 g
Asparagus [CF] 120 g
Mushrooms [CF] 150 g
Carrots [CF] 100 g
Sesame seeds 15 g
Cooking oil 2 g
No milk/curd/yogurt</x:v>
      </x:c>
      <x:c r="D25" s="10" t="n">
        <x:v>619.9</x:v>
      </x:c>
      <x:c r="E25" s="10" t="n">
        <x:v>53.5</x:v>
      </x:c>
      <x:c r="F25" s="10" t="n">
        <x:v>77.1</x:v>
      </x:c>
      <x:c r="G25" s="10" t="n">
        <x:v>19.5</x:v>
      </x:c>
      <x:c r="H25" s="10" t="n">
        <x:v>13.2</x:v>
      </x:c>
      <x:c r="I25" s="10" t="n">
        <x:v>541.5</x:v>
      </x:c>
      <x:c r="J25" s="10" t="n">
        <x:v>11.3</x:v>
      </x:c>
      <x:c r="K25" s="10" t="n">
        <x:v>270.8</x:v>
      </x:c>
      <x:c r="L25" s="10" t="n">
        <x:v>2159.7</x:v>
      </x:c>
      <x:c r="M25" s="10" t="n">
        <x:v>3.3</x:v>
      </x:c>
      <x:c r="N25" s="10" t="n">
        <x:v>4.3</x:v>
      </x:c>
      <x:c r="O25" s="10" t="n">
        <x:v>378.3</x:v>
      </x:c>
      <x:c r="P25" s="10" t="n">
        <x:v>0.8</x:v>
      </x:c>
      <x:c r="Q25" s="10" t="str">
        <x:v>No dairy with non-veg; no fruit; no honey/ghee; dinner has no curd/yogurt.</x:v>
      </x:c>
      <x:c r="R25" t="n">
        <x:v>2.21</x:v>
      </x:c>
      <x:c r="S25" t="n">
        <x:v>4.8</x:v>
      </x:c>
    </x:row>
    <x:row r="26" ht="76" customHeight="1">
      <x:c r="A26" s="10" t="str">
        <x:v>Day 7</x:v>
      </x:c>
      <x:c r="B26" s="10" t="str">
        <x:v>Breakfast</x:v>
      </x:c>
      <x:c r="C26" s="10" t="str">
        <x:v>Oats 38 g
Low-fat milk 300 ml
Whole eggs 1
Egg whites 100 g
SEPARATE SEED SIDE:
Ground flaxseed 5 g
Chia seeds 5 g
Sunflower seeds 5 g
No added salt; no onion/garlic in this milk-containing meal
Do not mix seeds into the milk/oats</x:v>
      </x:c>
      <x:c r="D26" s="10" t="n">
        <x:v>473.1</x:v>
      </x:c>
      <x:c r="E26" s="10" t="n">
        <x:v>35</x:v>
      </x:c>
      <x:c r="F26" s="10" t="n">
        <x:v>46.4</x:v>
      </x:c>
      <x:c r="G26" s="10" t="n">
        <x:v>7.3</x:v>
      </x:c>
      <x:c r="H26" s="10" t="n">
        <x:v>16.6</x:v>
      </x:c>
      <x:c r="I26" s="10" t="n">
        <x:v>477.8</x:v>
      </x:c>
      <x:c r="J26" s="10" t="n">
        <x:v>3.5</x:v>
      </x:c>
      <x:c r="K26" s="10" t="n">
        <x:v>152.3</x:v>
      </x:c>
      <x:c r="L26" s="10" t="n">
        <x:v>908.1</x:v>
      </x:c>
      <x:c r="M26" s="10" t="n">
        <x:v>1.9</x:v>
      </x:c>
      <x:c r="N26" s="10" t="n">
        <x:v>4.6</x:v>
      </x:c>
      <x:c r="O26" s="10" t="n">
        <x:v>81.9</x:v>
      </x:c>
      <x:c r="P26" s="10" t="n">
        <x:v>2.2</x:v>
      </x:c>
      <x:c r="Q26" s="10" t="str">
        <x:v>Milk kept away from fruit, meat/fish, added salt, onion and garlic; breakfast seed mix is eaten separately from the milk/grain bowl.</x:v>
      </x:c>
      <x:c r="R26" t="n">
        <x:v>4.49</x:v>
      </x:c>
      <x:c r="S26" t="n">
        <x:v>218</x:v>
      </x:c>
    </x:row>
    <x:row r="27" ht="76" customHeight="1">
      <x:c r="A27" s="10" t="str">
        <x:v>Day 7</x:v>
      </x:c>
      <x:c r="B27" s="10" t="str">
        <x:v>Mid-morning fruit</x:v>
      </x:c>
      <x:c r="C27" s="10" t="str">
        <x:v>Banana [CF] 120 g
Eat alone; ≥2 h after breakfast and ≥2 h before lunch</x:v>
      </x:c>
      <x:c r="D27" s="10" t="n">
        <x:v>106.8</x:v>
      </x:c>
      <x:c r="E27" s="10" t="n">
        <x:v>1.3</x:v>
      </x:c>
      <x:c r="F27" s="10" t="n">
        <x:v>27.4</x:v>
      </x:c>
      <x:c r="G27" s="10" t="n">
        <x:v>3.1</x:v>
      </x:c>
      <x:c r="H27" s="10" t="n">
        <x:v>0.4</x:v>
      </x:c>
      <x:c r="I27" s="10" t="n">
        <x:v>6</x:v>
      </x:c>
      <x:c r="J27" s="10" t="n">
        <x:v>0.3</x:v>
      </x:c>
      <x:c r="K27" s="10" t="n">
        <x:v>32.4</x:v>
      </x:c>
      <x:c r="L27" s="10" t="n">
        <x:v>429.6</x:v>
      </x:c>
      <x:c r="M27" s="10" t="n">
        <x:v>0</x:v>
      </x:c>
      <x:c r="N27" s="10" t="n">
        <x:v>0</x:v>
      </x:c>
      <x:c r="O27" s="10" t="n">
        <x:v>24</x:v>
      </x:c>
      <x:c r="P27" s="10" t="n">
        <x:v>0</x:v>
      </x:c>
      <x:c r="Q27" s="10" t="str">
        <x:v>Fruit eaten alone, separated from dairy and main meals.</x:v>
      </x:c>
      <x:c r="R27" t="n">
        <x:v>0.13</x:v>
      </x:c>
      <x:c r="S27" t="n">
        <x:v>0</x:v>
      </x:c>
    </x:row>
    <x:row r="28" ht="76" customHeight="1">
      <x:c r="A28" s="10" t="str">
        <x:v>Day 7</x:v>
      </x:c>
      <x:c r="B28" s="10" t="str">
        <x:v>Lunch</x:v>
      </x:c>
      <x:c r="C28" s="10" t="str">
        <x:v>Lean goat/mutton 100 g
Masoor dal (dry) 35 g
Rice (dry) 40 g
Asparagus [CF] 100 g
Cabbage [CF] 150 g
Cauliflower [CF] 100 g
Onion [CF] 50 g
Sesame seeds 10 g
Cooking oil 3 g
No milk/curd/yogurt</x:v>
      </x:c>
      <x:c r="D28" s="10" t="n">
        <x:v>564.5</x:v>
      </x:c>
      <x:c r="E28" s="10" t="n">
        <x:v>40.4</x:v>
      </x:c>
      <x:c r="F28" s="10" t="n">
        <x:v>78.8</x:v>
      </x:c>
      <x:c r="G28" s="10" t="n">
        <x:v>14.1</x:v>
      </x:c>
      <x:c r="H28" s="10" t="n">
        <x:v>11.5</x:v>
      </x:c>
      <x:c r="I28" s="10" t="n">
        <x:v>251.4</x:v>
      </x:c>
      <x:c r="J28" s="10" t="n">
        <x:v>10.2</x:v>
      </x:c>
      <x:c r="K28" s="10" t="n">
        <x:v>133.6</x:v>
      </x:c>
      <x:c r="L28" s="10" t="n">
        <x:v>1543.8</x:v>
      </x:c>
      <x:c r="M28" s="10" t="n">
        <x:v>1.1</x:v>
      </x:c>
      <x:c r="N28" s="10" t="n">
        <x:v>0</x:v>
      </x:c>
      <x:c r="O28" s="10" t="n">
        <x:v>368.5</x:v>
      </x:c>
      <x:c r="P28" s="10" t="n">
        <x:v>0.5</x:v>
      </x:c>
      <x:c r="Q28" s="10" t="str">
        <x:v>No dairy with non-veg; no fruit; no honey/ghee; dinner has no curd/yogurt.</x:v>
      </x:c>
      <x:c r="R28" t="n">
        <x:v>2.19</x:v>
      </x:c>
      <x:c r="S28" t="n">
        <x:v>0</x:v>
      </x:c>
    </x:row>
    <x:row r="29" ht="76" customHeight="1">
      <x:c r="A29" s="10" t="str">
        <x:v>Day 7</x:v>
      </x:c>
      <x:c r="B29" s="10" t="str">
        <x:v>Dinner</x:v>
      </x:c>
      <x:c r="C29" s="10" t="str">
        <x:v>Chicken breast 100 g
Toor dal (dry) 35 g
Rice (dry) 35 g
Cauliflower [CF] 150 g
Cabbage [CF] 150 g
Mushrooms [CF] 100 g
Frozen sweet peas [CF] 60 g
Sesame seeds 12 g
Cooking oil 3 g
No milk/curd/yogurt</x:v>
      </x:c>
      <x:c r="D29" s="10" t="n">
        <x:v>608.7</x:v>
      </x:c>
      <x:c r="E29" s="10" t="n">
        <x:v>45.8</x:v>
      </x:c>
      <x:c r="F29" s="10" t="n">
        <x:v>81</x:v>
      </x:c>
      <x:c r="G29" s="10" t="n">
        <x:v>17.9</x:v>
      </x:c>
      <x:c r="H29" s="10" t="n">
        <x:v>13.5</x:v>
      </x:c>
      <x:c r="I29" s="10" t="n">
        <x:v>288.3</x:v>
      </x:c>
      <x:c r="J29" s="10" t="n">
        <x:v>7</x:v>
      </x:c>
      <x:c r="K29" s="10" t="n">
        <x:v>212.2</x:v>
      </x:c>
      <x:c r="L29" s="10" t="n">
        <x:v>2085.5</x:v>
      </x:c>
      <x:c r="M29" s="10" t="n">
        <x:v>0.3</x:v>
      </x:c>
      <x:c r="N29" s="10" t="n">
        <x:v>0.3</x:v>
      </x:c>
      <x:c r="O29" s="10" t="n">
        <x:v>384</x:v>
      </x:c>
      <x:c r="P29" s="10" t="n">
        <x:v>0.4</x:v>
      </x:c>
      <x:c r="Q29" s="10" t="str">
        <x:v>No dairy with non-veg; no fruit; no honey/ghee; dinner has no curd/yogurt.</x:v>
      </x:c>
      <x:c r="R29" t="n">
        <x:v>2.33</x:v>
      </x:c>
      <x:c r="S29" t="n">
        <x:v>5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8" hidden="0" customWidth="1"/>
    <x:col min="12" max="12" width="18" hidden="0" customWidth="1"/>
    <x:col min="13" max="13" width="18" hidden="0" customWidth="1"/>
    <x:col min="14" max="14" width="14" hidden="0" customWidth="1"/>
    <x:col min="15" max="15" width="18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14" t="str">
        <x:v>Day</x:v>
      </x:c>
      <x:c r="B1" s="14" t="str">
        <x:v>Calories</x:v>
      </x:c>
      <x:c r="C1" s="14" t="str">
        <x:v>Protein g</x:v>
      </x:c>
      <x:c r="D1" s="14" t="str">
        <x:v>Carbs g</x:v>
      </x:c>
      <x:c r="E1" s="14" t="str">
        <x:v>Fiber g</x:v>
      </x:c>
      <x:c r="F1" s="14" t="str">
        <x:v>Fat g</x:v>
      </x:c>
      <x:c r="G1" s="14" t="str">
        <x:v>Calcium mg</x:v>
      </x:c>
      <x:c r="H1" s="14" t="str">
        <x:v>Iron mg</x:v>
      </x:c>
      <x:c r="I1" s="14" t="str">
        <x:v>Magnesium mg</x:v>
      </x:c>
      <x:c r="J1" s="14" t="str">
        <x:v>Potassium mg</x:v>
      </x:c>
      <x:c r="K1" s="76" t="str">
        <x:v>Vitamin B12 (µg)</x:v>
      </x:c>
      <x:c r="L1" s="76" t="str">
        <x:v>Vitamin D (µg)</x:v>
      </x:c>
      <x:c r="M1" s="76" t="str">
        <x:v>Vitamin B9 Folate (µg DFE)</x:v>
      </x:c>
      <x:c r="N1" s="14" t="str">
        <x:v>Omega-3 (g)</x:v>
      </x:c>
      <x:c r="O1" s="14" t="str">
        <x:v>Saturated Fat (g)</x:v>
      </x:c>
      <x:c r="P1" s="76" t="str">
        <x:v>Preformed Vitamin A (µg RAE)</x:v>
      </x:c>
      <x:c r="Q1" s="76" t="str">
        <x:v>Vitamin A Total (µg RAE)</x:v>
      </x:c>
      <x:c r="R1" s="76" t="str">
        <x:v>Vitamin C (mg)</x:v>
      </x:c>
      <x:c r="S1" s="76" t="str">
        <x:v>Vitamin E (mg)</x:v>
      </x:c>
      <x:c r="T1" s="76" t="str">
        <x:v>Vitamin K (µg)</x:v>
      </x:c>
      <x:c r="U1" s="76" t="str">
        <x:v>Vitamin B1 Thiamin (mg)</x:v>
      </x:c>
      <x:c r="V1" s="76" t="str">
        <x:v>Vitamin B2 Riboflavin (mg)</x:v>
      </x:c>
      <x:c r="W1" s="76" t="str">
        <x:v>Vitamin B3 Niacin (mg)</x:v>
      </x:c>
      <x:c r="X1" s="76" t="str">
        <x:v>Vitamin B5 Pantothenic Acid (mg)</x:v>
      </x:c>
      <x:c r="Y1" s="76" t="str">
        <x:v>Vitamin B6 (mg)</x:v>
      </x:c>
      <x:c r="Z1" s="76" t="str">
        <x:v>Vitamin B7 Biotin (µg, est.)</x:v>
      </x:c>
    </x:row>
    <x:row r="2">
      <x:c r="A2" s="10" t="str">
        <x:v>Day 1</x:v>
      </x:c>
      <x:c r="B2" s="10" t="n">
        <x:v>1772.9</x:v>
      </x:c>
      <x:c r="C2" s="10" t="n">
        <x:v>120.3</x:v>
      </x:c>
      <x:c r="D2" s="10" t="n">
        <x:v>212.8</x:v>
      </x:c>
      <x:c r="E2" s="10" t="n">
        <x:v>38.2</x:v>
      </x:c>
      <x:c r="F2" s="10" t="n">
        <x:v>53.1</x:v>
      </x:c>
      <x:c r="G2" s="10" t="n">
        <x:v>1009.3</x:v>
      </x:c>
      <x:c r="H2" s="10" t="n">
        <x:v>17</x:v>
      </x:c>
      <x:c r="I2" s="10" t="n">
        <x:v>559.7</x:v>
      </x:c>
      <x:c r="J2" s="10" t="n">
        <x:v>4689.6</x:v>
      </x:c>
      <x:c r="K2" s="10" t="n">
        <x:v>2.5</x:v>
      </x:c>
      <x:c r="L2" s="10" t="n">
        <x:v>34.4</x:v>
      </x:c>
      <x:c r="M2" s="10" t="n">
        <x:v>636</x:v>
      </x:c>
      <x:c r="N2" s="10" t="n">
        <x:v>4.7</x:v>
      </x:c>
      <x:c r="O2" t="n">
        <x:v>12.24</x:v>
      </x:c>
      <x:c r="P2" t="n">
        <x:v>1636.7</x:v>
      </x:c>
      <x:c r="Q2" t="n">
        <x:f>SUMIF('Vitamin Detail'!$A$2:$A$29,$A2,'Vitamin Detail'!$C$2:$C$29)</x:f>
        <x:v>2610.79</x:v>
      </x:c>
      <x:c r="R2" t="n">
        <x:f>SUMIF('Vitamin Detail'!$A$2:$A$29,$A2,'Vitamin Detail'!$D$2:$D$29)</x:f>
        <x:v>261.4</x:v>
      </x:c>
      <x:c r="S2" t="n">
        <x:f>SUMIF('Vitamin Detail'!$A$2:$A$29,$A2,'Vitamin Detail'!$E$2:$E$29)</x:f>
        <x:v>4.48</x:v>
      </x:c>
      <x:c r="T2" t="n">
        <x:f>SUMIF('Vitamin Detail'!$A$2:$A$29,$A2,'Vitamin Detail'!$F$2:$F$29)</x:f>
        <x:v>215.67</x:v>
      </x:c>
      <x:c r="U2" t="n">
        <x:f>SUMIF('Vitamin Detail'!$A$2:$A$29,$A2,'Vitamin Detail'!$G$2:$G$29)</x:f>
        <x:v>2.07</x:v>
      </x:c>
      <x:c r="V2" t="n">
        <x:f>SUMIF('Vitamin Detail'!$A$2:$A$29,$A2,'Vitamin Detail'!$H$2:$H$29)</x:f>
        <x:v>2.94</x:v>
      </x:c>
      <x:c r="W2" t="n">
        <x:f>SUMIF('Vitamin Detail'!$A$2:$A$29,$A2,'Vitamin Detail'!$I$2:$I$29)</x:f>
        <x:v>45.17</x:v>
      </x:c>
      <x:c r="X2" t="n">
        <x:f>SUMIF('Vitamin Detail'!$A$2:$A$29,$A2,'Vitamin Detail'!$J$2:$J$29)</x:f>
        <x:v>11.37</x:v>
      </x:c>
      <x:c r="Y2" t="n">
        <x:f>SUMIF('Vitamin Detail'!$A$2:$A$29,$A2,'Vitamin Detail'!$K$2:$K$29)</x:f>
        <x:v>3.14</x:v>
      </x:c>
      <x:c r="Z2" t="n">
        <x:f>SUMIF('Vitamin Detail'!$A$2:$A$29,$A2,'Vitamin Detail'!$L$2:$L$29)</x:f>
        <x:v>68.11</x:v>
      </x:c>
    </x:row>
    <x:row r="3">
      <x:c r="A3" s="10" t="str">
        <x:v>Day 2</x:v>
      </x:c>
      <x:c r="B3" s="10" t="n">
        <x:v>1810.9</x:v>
      </x:c>
      <x:c r="C3" s="10" t="n">
        <x:v>124.3</x:v>
      </x:c>
      <x:c r="D3" s="10" t="n">
        <x:v>232.5</x:v>
      </x:c>
      <x:c r="E3" s="10" t="n">
        <x:v>47.7</x:v>
      </x:c>
      <x:c r="F3" s="10" t="n">
        <x:v>46.9</x:v>
      </x:c>
      <x:c r="G3" s="10" t="n">
        <x:v>1271.7</x:v>
      </x:c>
      <x:c r="H3" s="10" t="n">
        <x:v>22</x:v>
      </x:c>
      <x:c r="I3" s="10" t="n">
        <x:v>572.8</x:v>
      </x:c>
      <x:c r="J3" s="10" t="n">
        <x:v>5199.3</x:v>
      </x:c>
      <x:c r="K3" s="10" t="n">
        <x:v>3.2</x:v>
      </x:c>
      <x:c r="L3" s="10" t="n">
        <x:v>7</x:v>
      </x:c>
      <x:c r="M3" s="10" t="n">
        <x:v>885.8</x:v>
      </x:c>
      <x:c r="N3" s="10" t="n">
        <x:v>2.4</x:v>
      </x:c>
      <x:c r="O3" t="n">
        <x:v>11.04</x:v>
      </x:c>
      <x:c r="P3" t="n">
        <x:v>383</x:v>
      </x:c>
      <x:c r="Q3" t="n">
        <x:f>SUMIF('Vitamin Detail'!$A$2:$A$29,$A3,'Vitamin Detail'!$C$2:$C$29)</x:f>
        <x:v>1279.7</x:v>
      </x:c>
      <x:c r="R3" t="n">
        <x:f>SUMIF('Vitamin Detail'!$A$2:$A$29,$A3,'Vitamin Detail'!$D$2:$D$29)</x:f>
        <x:v>289.77000000000004</x:v>
      </x:c>
      <x:c r="S3" t="n">
        <x:f>SUMIF('Vitamin Detail'!$A$2:$A$29,$A3,'Vitamin Detail'!$E$2:$E$29)</x:f>
        <x:v>7.18</x:v>
      </x:c>
      <x:c r="T3" t="n">
        <x:f>SUMIF('Vitamin Detail'!$A$2:$A$29,$A3,'Vitamin Detail'!$F$2:$F$29)</x:f>
        <x:v>274.89</x:v>
      </x:c>
      <x:c r="U3" t="n">
        <x:f>SUMIF('Vitamin Detail'!$A$2:$A$29,$A3,'Vitamin Detail'!$G$2:$G$29)</x:f>
        <x:v>1.9200000000000002</x:v>
      </x:c>
      <x:c r="V3" t="n">
        <x:f>SUMIF('Vitamin Detail'!$A$2:$A$29,$A3,'Vitamin Detail'!$H$2:$H$29)</x:f>
        <x:v>3.6300000000000003</x:v>
      </x:c>
      <x:c r="W3" t="n">
        <x:f>SUMIF('Vitamin Detail'!$A$2:$A$29,$A3,'Vitamin Detail'!$I$2:$I$29)</x:f>
        <x:v>29.12</x:v>
      </x:c>
      <x:c r="X3" t="n">
        <x:f>SUMIF('Vitamin Detail'!$A$2:$A$29,$A3,'Vitamin Detail'!$J$2:$J$29)</x:f>
        <x:v>11.290000000000001</x:v>
      </x:c>
      <x:c r="Y3" t="n">
        <x:f>SUMIF('Vitamin Detail'!$A$2:$A$29,$A3,'Vitamin Detail'!$K$2:$K$29)</x:f>
        <x:v>2.9000000000000004</x:v>
      </x:c>
      <x:c r="Z3" t="n">
        <x:f>SUMIF('Vitamin Detail'!$A$2:$A$29,$A3,'Vitamin Detail'!$L$2:$L$29)</x:f>
        <x:v>75</x:v>
      </x:c>
    </x:row>
    <x:row r="4">
      <x:c r="A4" s="10" t="str">
        <x:v>Day 3</x:v>
      </x:c>
      <x:c r="B4" s="10" t="n">
        <x:v>1779.6</x:v>
      </x:c>
      <x:c r="C4" s="10" t="n">
        <x:v>124.3</x:v>
      </x:c>
      <x:c r="D4" s="10" t="n">
        <x:v>221.7</x:v>
      </x:c>
      <x:c r="E4" s="10" t="n">
        <x:v>43.7</x:v>
      </x:c>
      <x:c r="F4" s="10" t="n">
        <x:v>48.3</x:v>
      </x:c>
      <x:c r="G4" s="10" t="n">
        <x:v>1177.6</x:v>
      </x:c>
      <x:c r="H4" s="10" t="n">
        <x:v>21</x:v>
      </x:c>
      <x:c r="I4" s="10" t="n">
        <x:v>570.2</x:v>
      </x:c>
      <x:c r="J4" s="10" t="n">
        <x:v>4441.1</x:v>
      </x:c>
      <x:c r="K4" s="10" t="n">
        <x:v>3.2</x:v>
      </x:c>
      <x:c r="L4" s="10" t="n">
        <x:v>7</x:v>
      </x:c>
      <x:c r="M4" s="10" t="n">
        <x:v>954.7</x:v>
      </x:c>
      <x:c r="N4" s="10" t="n">
        <x:v>2</x:v>
      </x:c>
      <x:c r="O4" t="n">
        <x:v>11.33</x:v>
      </x:c>
      <x:c r="P4" t="n">
        <x:v>383</x:v>
      </x:c>
      <x:c r="Q4" t="n">
        <x:f>SUMIF('Vitamin Detail'!$A$2:$A$29,$A4,'Vitamin Detail'!$C$2:$C$29)</x:f>
        <x:v>466.75</x:v>
      </x:c>
      <x:c r="R4" t="n">
        <x:f>SUMIF('Vitamin Detail'!$A$2:$A$29,$A4,'Vitamin Detail'!$D$2:$D$29)</x:f>
        <x:v>268.93</x:v>
      </x:c>
      <x:c r="S4" t="n">
        <x:f>SUMIF('Vitamin Detail'!$A$2:$A$29,$A4,'Vitamin Detail'!$E$2:$E$29)</x:f>
        <x:v>6.53</x:v>
      </x:c>
      <x:c r="T4" t="n">
        <x:f>SUMIF('Vitamin Detail'!$A$2:$A$29,$A4,'Vitamin Detail'!$F$2:$F$29)</x:f>
        <x:v>310.74</x:v>
      </x:c>
      <x:c r="U4" t="n">
        <x:f>SUMIF('Vitamin Detail'!$A$2:$A$29,$A4,'Vitamin Detail'!$G$2:$G$29)</x:f>
        <x:v>2.25</x:v>
      </x:c>
      <x:c r="V4" t="n">
        <x:f>SUMIF('Vitamin Detail'!$A$2:$A$29,$A4,'Vitamin Detail'!$H$2:$H$29)</x:f>
        <x:v>3.68</x:v>
      </x:c>
      <x:c r="W4" t="n">
        <x:f>SUMIF('Vitamin Detail'!$A$2:$A$29,$A4,'Vitamin Detail'!$I$2:$I$29)</x:f>
        <x:v>28.77</x:v>
      </x:c>
      <x:c r="X4" t="n">
        <x:f>SUMIF('Vitamin Detail'!$A$2:$A$29,$A4,'Vitamin Detail'!$J$2:$J$29)</x:f>
        <x:v>11.38</x:v>
      </x:c>
      <x:c r="Y4" t="n">
        <x:f>SUMIF('Vitamin Detail'!$A$2:$A$29,$A4,'Vitamin Detail'!$K$2:$K$29)</x:f>
        <x:v>3.01</x:v>
      </x:c>
      <x:c r="Z4" t="n">
        <x:f>SUMIF('Vitamin Detail'!$A$2:$A$29,$A4,'Vitamin Detail'!$L$2:$L$29)</x:f>
        <x:v>75.65</x:v>
      </x:c>
    </x:row>
    <x:row r="5">
      <x:c r="A5" s="10" t="str">
        <x:v>Day 4</x:v>
      </x:c>
      <x:c r="B5" s="10" t="n">
        <x:v>1808.7</x:v>
      </x:c>
      <x:c r="C5" s="10" t="n">
        <x:v>129.2</x:v>
      </x:c>
      <x:c r="D5" s="10" t="n">
        <x:v>231.1</x:v>
      </x:c>
      <x:c r="E5" s="10" t="n">
        <x:v>40</x:v>
      </x:c>
      <x:c r="F5" s="10" t="n">
        <x:v>46.7</x:v>
      </x:c>
      <x:c r="G5" s="10" t="n">
        <x:v>1001.8</x:v>
      </x:c>
      <x:c r="H5" s="10" t="n">
        <x:v>19.3</x:v>
      </x:c>
      <x:c r="I5" s="10" t="n">
        <x:v>561.6</x:v>
      </x:c>
      <x:c r="J5" s="10" t="n">
        <x:v>4811.2</x:v>
      </x:c>
      <x:c r="K5" s="10" t="n">
        <x:v>4.8</x:v>
      </x:c>
      <x:c r="L5" s="10" t="n">
        <x:v>10</x:v>
      </x:c>
      <x:c r="M5" s="10" t="n">
        <x:v>965</x:v>
      </x:c>
      <x:c r="N5" s="10" t="n">
        <x:v>2.9</x:v>
      </x:c>
      <x:c r="O5" t="n">
        <x:v>9.73</x:v>
      </x:c>
      <x:c r="P5" t="n">
        <x:v>223</x:v>
      </x:c>
      <x:c r="Q5" t="n">
        <x:f>SUMIF('Vitamin Detail'!$A$2:$A$29,$A5,'Vitamin Detail'!$C$2:$C$29)</x:f>
        <x:v>1218.25</x:v>
      </x:c>
      <x:c r="R5" t="n">
        <x:f>SUMIF('Vitamin Detail'!$A$2:$A$29,$A5,'Vitamin Detail'!$D$2:$D$29)</x:f>
        <x:v>227.93</x:v>
      </x:c>
      <x:c r="S5" t="n">
        <x:f>SUMIF('Vitamin Detail'!$A$2:$A$29,$A5,'Vitamin Detail'!$E$2:$E$29)</x:f>
        <x:v>8.03</x:v>
      </x:c>
      <x:c r="T5" t="n">
        <x:f>SUMIF('Vitamin Detail'!$A$2:$A$29,$A5,'Vitamin Detail'!$F$2:$F$29)</x:f>
        <x:v>231</x:v>
      </x:c>
      <x:c r="U5" t="n">
        <x:f>SUMIF('Vitamin Detail'!$A$2:$A$29,$A5,'Vitamin Detail'!$G$2:$G$29)</x:f>
        <x:v>2.19</x:v>
      </x:c>
      <x:c r="V5" t="n">
        <x:f>SUMIF('Vitamin Detail'!$A$2:$A$29,$A5,'Vitamin Detail'!$H$2:$H$29)</x:f>
        <x:v>2.67</x:v>
      </x:c>
      <x:c r="W5" t="n">
        <x:f>SUMIF('Vitamin Detail'!$A$2:$A$29,$A5,'Vitamin Detail'!$I$2:$I$29)</x:f>
        <x:v>36.49</x:v>
      </x:c>
      <x:c r="X5" t="n">
        <x:f>SUMIF('Vitamin Detail'!$A$2:$A$29,$A5,'Vitamin Detail'!$J$2:$J$29)</x:f>
        <x:v>11.05</x:v>
      </x:c>
      <x:c r="Y5" t="n">
        <x:f>SUMIF('Vitamin Detail'!$A$2:$A$29,$A5,'Vitamin Detail'!$K$2:$K$29)</x:f>
        <x:v>3.1500000000000004</x:v>
      </x:c>
      <x:c r="Z5" t="n">
        <x:f>SUMIF('Vitamin Detail'!$A$2:$A$29,$A5,'Vitamin Detail'!$L$2:$L$29)</x:f>
        <x:v>62.550000000000004</x:v>
      </x:c>
    </x:row>
    <x:row r="6">
      <x:c r="A6" s="10" t="str">
        <x:v>Day 5</x:v>
      </x:c>
      <x:c r="B6" s="10" t="n">
        <x:v>1778.8</x:v>
      </x:c>
      <x:c r="C6" s="10" t="n">
        <x:v>124.3</x:v>
      </x:c>
      <x:c r="D6" s="10" t="n">
        <x:v>224.2</x:v>
      </x:c>
      <x:c r="E6" s="10" t="n">
        <x:v>45.2</x:v>
      </x:c>
      <x:c r="F6" s="10" t="n">
        <x:v>46.6</x:v>
      </x:c>
      <x:c r="G6" s="10" t="n">
        <x:v>1215</x:v>
      </x:c>
      <x:c r="H6" s="10" t="n">
        <x:v>21.9</x:v>
      </x:c>
      <x:c r="I6" s="10" t="n">
        <x:v>512.6</x:v>
      </x:c>
      <x:c r="J6" s="10" t="n">
        <x:v>4798.9</x:v>
      </x:c>
      <x:c r="K6" s="10" t="n">
        <x:v>3.2</x:v>
      </x:c>
      <x:c r="L6" s="10" t="n">
        <x:v>7</x:v>
      </x:c>
      <x:c r="M6" s="10" t="n">
        <x:v>867.9</x:v>
      </x:c>
      <x:c r="N6" s="10" t="n">
        <x:v>1.8</x:v>
      </x:c>
      <x:c r="O6" t="n">
        <x:v>11.06</x:v>
      </x:c>
      <x:c r="P6" t="n">
        <x:v>383</x:v>
      </x:c>
      <x:c r="Q6" t="n">
        <x:f>SUMIF('Vitamin Detail'!$A$2:$A$29,$A6,'Vitamin Detail'!$C$2:$C$29)</x:f>
        <x:v>1365.35</x:v>
      </x:c>
      <x:c r="R6" t="n">
        <x:f>SUMIF('Vitamin Detail'!$A$2:$A$29,$A6,'Vitamin Detail'!$D$2:$D$29)</x:f>
        <x:v>265.03000000000003</x:v>
      </x:c>
      <x:c r="S6" t="n">
        <x:f>SUMIF('Vitamin Detail'!$A$2:$A$29,$A6,'Vitamin Detail'!$E$2:$E$29)</x:f>
        <x:v>7.200000000000001</x:v>
      </x:c>
      <x:c r="T6" t="n">
        <x:f>SUMIF('Vitamin Detail'!$A$2:$A$29,$A6,'Vitamin Detail'!$F$2:$F$29)</x:f>
        <x:v>230.62</x:v>
      </x:c>
      <x:c r="U6" t="n">
        <x:f>SUMIF('Vitamin Detail'!$A$2:$A$29,$A6,'Vitamin Detail'!$G$2:$G$29)</x:f>
        <x:v>2.13</x:v>
      </x:c>
      <x:c r="V6" t="n">
        <x:f>SUMIF('Vitamin Detail'!$A$2:$A$29,$A6,'Vitamin Detail'!$H$2:$H$29)</x:f>
        <x:v>3.7</x:v>
      </x:c>
      <x:c r="W6" t="n">
        <x:f>SUMIF('Vitamin Detail'!$A$2:$A$29,$A6,'Vitamin Detail'!$I$2:$I$29)</x:f>
        <x:v>30.230000000000004</x:v>
      </x:c>
      <x:c r="X6" t="n">
        <x:f>SUMIF('Vitamin Detail'!$A$2:$A$29,$A6,'Vitamin Detail'!$J$2:$J$29)</x:f>
        <x:v>11.32</x:v>
      </x:c>
      <x:c r="Y6" t="n">
        <x:f>SUMIF('Vitamin Detail'!$A$2:$A$29,$A6,'Vitamin Detail'!$K$2:$K$29)</x:f>
        <x:v>3.02</x:v>
      </x:c>
      <x:c r="Z6" t="n">
        <x:f>SUMIF('Vitamin Detail'!$A$2:$A$29,$A6,'Vitamin Detail'!$L$2:$L$29)</x:f>
        <x:v>74.07</x:v>
      </x:c>
    </x:row>
    <x:row r="7">
      <x:c r="A7" s="10" t="str">
        <x:v>Day 6</x:v>
      </x:c>
      <x:c r="B7" s="10" t="n">
        <x:v>1750.5</x:v>
      </x:c>
      <x:c r="C7" s="10" t="n">
        <x:v>126.5</x:v>
      </x:c>
      <x:c r="D7" s="10" t="n">
        <x:v>215.5</x:v>
      </x:c>
      <x:c r="E7" s="10" t="n">
        <x:v>43.9</x:v>
      </x:c>
      <x:c r="F7" s="10" t="n">
        <x:v>48.1</x:v>
      </x:c>
      <x:c r="G7" s="10" t="n">
        <x:v>1318.1</x:v>
      </x:c>
      <x:c r="H7" s="10" t="n">
        <x:v>21.6</x:v>
      </x:c>
      <x:c r="I7" s="10" t="n">
        <x:v>618.3</x:v>
      </x:c>
      <x:c r="J7" s="10" t="n">
        <x:v>4949.6</x:v>
      </x:c>
      <x:c r="K7" s="10" t="n">
        <x:v>5.8</x:v>
      </x:c>
      <x:c r="L7" s="10" t="n">
        <x:v>10</x:v>
      </x:c>
      <x:c r="M7" s="10" t="n">
        <x:v>907.8</x:v>
      </x:c>
      <x:c r="N7" s="10" t="n">
        <x:v>2.8</x:v>
      </x:c>
      <x:c r="O7" t="n">
        <x:v>10.64</x:v>
      </x:c>
      <x:c r="P7" t="n">
        <x:v>307.8</x:v>
      </x:c>
      <x:c r="Q7" t="n">
        <x:f>SUMIF('Vitamin Detail'!$A$2:$A$29,$A7,'Vitamin Detail'!$C$2:$C$29)</x:f>
        <x:v>1205.4</x:v>
      </x:c>
      <x:c r="R7" t="n">
        <x:f>SUMIF('Vitamin Detail'!$A$2:$A$29,$A7,'Vitamin Detail'!$D$2:$D$29)</x:f>
        <x:v>289.2</x:v>
      </x:c>
      <x:c r="S7" t="n">
        <x:f>SUMIF('Vitamin Detail'!$A$2:$A$29,$A7,'Vitamin Detail'!$E$2:$E$29)</x:f>
        <x:v>7.3999999999999995</x:v>
      </x:c>
      <x:c r="T7" t="n">
        <x:f>SUMIF('Vitamin Detail'!$A$2:$A$29,$A7,'Vitamin Detail'!$F$2:$F$29)</x:f>
        <x:v>270.57</x:v>
      </x:c>
      <x:c r="U7" t="n">
        <x:f>SUMIF('Vitamin Detail'!$A$2:$A$29,$A7,'Vitamin Detail'!$G$2:$G$29)</x:f>
        <x:v>2.1100000000000003</x:v>
      </x:c>
      <x:c r="V7" t="n">
        <x:f>SUMIF('Vitamin Detail'!$A$2:$A$29,$A7,'Vitamin Detail'!$H$2:$H$29)</x:f>
        <x:v>2.69</x:v>
      </x:c>
      <x:c r="W7" t="n">
        <x:f>SUMIF('Vitamin Detail'!$A$2:$A$29,$A7,'Vitamin Detail'!$I$2:$I$29)</x:f>
        <x:v>33.120000000000005</x:v>
      </x:c>
      <x:c r="X7" t="n">
        <x:f>SUMIF('Vitamin Detail'!$A$2:$A$29,$A7,'Vitamin Detail'!$J$2:$J$29)</x:f>
        <x:v>11.68</x:v>
      </x:c>
      <x:c r="Y7" t="n">
        <x:f>SUMIF('Vitamin Detail'!$A$2:$A$29,$A7,'Vitamin Detail'!$K$2:$K$29)</x:f>
        <x:v>3</x:v>
      </x:c>
      <x:c r="Z7" t="n">
        <x:f>SUMIF('Vitamin Detail'!$A$2:$A$29,$A7,'Vitamin Detail'!$L$2:$L$29)</x:f>
        <x:v>73.59</x:v>
      </x:c>
    </x:row>
    <x:row r="8">
      <x:c r="A8" s="10" t="str">
        <x:v>Day 7</x:v>
      </x:c>
      <x:c r="B8" s="10" t="n">
        <x:v>1753.1</x:v>
      </x:c>
      <x:c r="C8" s="10" t="n">
        <x:v>122.5</x:v>
      </x:c>
      <x:c r="D8" s="10" t="n">
        <x:v>233.6</x:v>
      </x:c>
      <x:c r="E8" s="10" t="n">
        <x:v>42.4</x:v>
      </x:c>
      <x:c r="F8" s="10" t="n">
        <x:v>42</x:v>
      </x:c>
      <x:c r="G8" s="10" t="n">
        <x:v>1023.5</x:v>
      </x:c>
      <x:c r="H8" s="10" t="n">
        <x:v>21</x:v>
      </x:c>
      <x:c r="I8" s="10" t="n">
        <x:v>530.5</x:v>
      </x:c>
      <x:c r="J8" s="10" t="n">
        <x:v>4967</x:v>
      </x:c>
      <x:c r="K8" s="10" t="n">
        <x:v>3.3</x:v>
      </x:c>
      <x:c r="L8" s="10" t="n">
        <x:v>4.9</x:v>
      </x:c>
      <x:c r="M8" s="10" t="n">
        <x:v>858.4</x:v>
      </x:c>
      <x:c r="N8" s="10" t="n">
        <x:v>3.1</x:v>
      </x:c>
      <x:c r="O8" t="n">
        <x:v>9.14</x:v>
      </x:c>
      <x:c r="P8" t="n">
        <x:v>223</x:v>
      </x:c>
      <x:c r="Q8" t="n">
        <x:f>SUMIF('Vitamin Detail'!$A$2:$A$29,$A8,'Vitamin Detail'!$C$2:$C$29)</x:f>
        <x:v>303.25</x:v>
      </x:c>
      <x:c r="R8" t="n">
        <x:f>SUMIF('Vitamin Detail'!$A$2:$A$29,$A8,'Vitamin Detail'!$D$2:$D$29)</x:f>
        <x:v>277.90000000000003</x:v>
      </x:c>
      <x:c r="S8" t="n">
        <x:f>SUMIF('Vitamin Detail'!$A$2:$A$29,$A8,'Vitamin Detail'!$E$2:$E$29)</x:f>
        <x:v>5.66</x:v>
      </x:c>
      <x:c r="T8" t="n">
        <x:f>SUMIF('Vitamin Detail'!$A$2:$A$29,$A8,'Vitamin Detail'!$F$2:$F$29)</x:f>
        <x:v>331.13</x:v>
      </x:c>
      <x:c r="U8" t="n">
        <x:f>SUMIF('Vitamin Detail'!$A$2:$A$29,$A8,'Vitamin Detail'!$G$2:$G$29)</x:f>
        <x:v>2.33</x:v>
      </x:c>
      <x:c r="V8" t="n">
        <x:f>SUMIF('Vitamin Detail'!$A$2:$A$29,$A8,'Vitamin Detail'!$H$2:$H$29)</x:f>
        <x:v>3.1100000000000003</x:v>
      </x:c>
      <x:c r="W8" t="n">
        <x:f>SUMIF('Vitamin Detail'!$A$2:$A$29,$A8,'Vitamin Detail'!$I$2:$I$29)</x:f>
        <x:v>32.06</x:v>
      </x:c>
      <x:c r="X8" t="n">
        <x:f>SUMIF('Vitamin Detail'!$A$2:$A$29,$A8,'Vitamin Detail'!$J$2:$J$29)</x:f>
        <x:v>10.83</x:v>
      </x:c>
      <x:c r="Y8" t="n">
        <x:f>SUMIF('Vitamin Detail'!$A$2:$A$29,$A8,'Vitamin Detail'!$K$2:$K$29)</x:f>
        <x:v>3.51</x:v>
      </x:c>
      <x:c r="Z8" t="n">
        <x:f>SUMIF('Vitamin Detail'!$A$2:$A$29,$A8,'Vitamin Detail'!$L$2:$L$29)</x:f>
        <x:v>49.949999999999996</x:v>
      </x:c>
    </x:row>
  </x:sheetData>
  <x:conditionalFormatting sqref="B2:B8">
    <x:cfRule type="expression" dxfId="9" priority="1">
      <x:formula>AND(B2&gt;=1700,B2&lt;=1900)</x:formula>
    </x:cfRule>
    <x:cfRule type="expression" dxfId="10" priority="2">
      <x:formula>OR(AND(B2&gt;=1600,B2&lt;1700),AND(B2&gt;1900,B2&lt;=2000))</x:formula>
    </x:cfRule>
    <x:cfRule type="expression" dxfId="11" priority="3">
      <x:formula>OR(B2&lt;1600,B2&gt;2000)</x:formula>
    </x:cfRule>
  </x:conditionalFormatting>
  <x:conditionalFormatting sqref="C2:C8">
    <x:cfRule type="expression" dxfId="12" priority="4">
      <x:formula>AND(C2&gt;=110,C2&lt;=130)</x:formula>
    </x:cfRule>
    <x:cfRule type="expression" dxfId="13" priority="5">
      <x:formula>OR(AND(C2&gt;=100,C2&lt;110),AND(C2&gt;130,C2&lt;=140))</x:formula>
    </x:cfRule>
    <x:cfRule type="expression" dxfId="14" priority="6">
      <x:formula>OR(C2&lt;100,C2&gt;140)</x:formula>
    </x:cfRule>
  </x:conditionalFormatting>
  <x:conditionalFormatting sqref="E2:E8">
    <x:cfRule type="expression" dxfId="15" priority="7">
      <x:formula>E2&gt;=38</x:formula>
    </x:cfRule>
    <x:cfRule type="expression" dxfId="16" priority="8">
      <x:formula>AND(E2&gt;=32,E2&lt;38)</x:formula>
    </x:cfRule>
    <x:cfRule type="expression" dxfId="17" priority="9">
      <x:formula>E2&lt;32</x:formula>
    </x:cfRule>
  </x:conditionalFormatting>
  <x:conditionalFormatting sqref="G2:G8">
    <x:cfRule type="expression" dxfId="18" priority="10">
      <x:formula>G2&gt;=1000</x:formula>
    </x:cfRule>
    <x:cfRule type="expression" dxfId="19" priority="11">
      <x:formula>AND(G2&gt;=900,G2&lt;1000)</x:formula>
    </x:cfRule>
    <x:cfRule type="expression" dxfId="20" priority="12">
      <x:formula>G2&lt;900</x:formula>
    </x:cfRule>
  </x:conditionalFormatting>
  <x:conditionalFormatting sqref="H2:H8">
    <x:cfRule type="expression" dxfId="21" priority="13">
      <x:formula>H2&gt;=8</x:formula>
    </x:cfRule>
    <x:cfRule type="expression" dxfId="22" priority="14">
      <x:formula>AND(H2&gt;=7,H2&lt;8)</x:formula>
    </x:cfRule>
    <x:cfRule type="expression" dxfId="23" priority="15">
      <x:formula>H2&lt;7</x:formula>
    </x:cfRule>
  </x:conditionalFormatting>
  <x:conditionalFormatting sqref="I2:I8">
    <x:cfRule type="expression" dxfId="24" priority="16">
      <x:formula>I2&gt;=420</x:formula>
    </x:cfRule>
    <x:cfRule type="expression" dxfId="25" priority="17">
      <x:formula>AND(I2&gt;=380,I2&lt;420)</x:formula>
    </x:cfRule>
    <x:cfRule type="expression" dxfId="26" priority="18">
      <x:formula>I2&lt;380</x:formula>
    </x:cfRule>
  </x:conditionalFormatting>
  <x:conditionalFormatting sqref="J2:J8">
    <x:cfRule type="expression" dxfId="27" priority="19">
      <x:formula>J2&gt;=3400</x:formula>
    </x:cfRule>
    <x:cfRule type="expression" dxfId="28" priority="20">
      <x:formula>AND(J2&gt;=3000,J2&lt;3400)</x:formula>
    </x:cfRule>
    <x:cfRule type="expression" dxfId="29" priority="21">
      <x:formula>J2&lt;3000</x:formula>
    </x:cfRule>
  </x:conditionalFormatting>
  <x:conditionalFormatting sqref="N2:N8">
    <x:cfRule type="expression" dxfId="39" priority="31">
      <x:formula>N2&gt;=1.6</x:formula>
    </x:cfRule>
    <x:cfRule type="expression" dxfId="40" priority="32">
      <x:formula>AND(N2&gt;=1,N2&lt;1.6)</x:formula>
    </x:cfRule>
    <x:cfRule type="expression" dxfId="41" priority="33">
      <x:formula>N2&lt;1</x:formula>
    </x:cfRule>
  </x:conditionalFormatting>
  <x:conditionalFormatting sqref="O2:O8">
    <x:cfRule type="expression" dxfId="44" priority="34">
      <x:formula>O2*9/B2&lt;0.10</x:formula>
    </x:cfRule>
    <x:cfRule type="expression" dxfId="45" priority="35">
      <x:formula>AND(O2*9/B2&gt;=0.10,O2*9/B2&lt;0.12)</x:formula>
    </x:cfRule>
    <x:cfRule type="expression" dxfId="46" priority="36">
      <x:formula>O2*9/B2&gt;=0.12</x:formula>
    </x:cfRule>
  </x:conditionalFormatting>
  <x:conditionalFormatting sqref="P2:P8">
    <x:cfRule type="expression" dxfId="47" priority="37">
      <x:formula>P2&lt;2500</x:formula>
    </x:cfRule>
    <x:cfRule type="expression" dxfId="48" priority="38">
      <x:formula>AND(P2&gt;=2500,P2&lt;=3000)</x:formula>
    </x:cfRule>
    <x:cfRule type="expression" dxfId="49" priority="39">
      <x:formula>P2&gt;3000</x:formula>
    </x:cfRule>
  </x:conditionalFormatting>
  <x:conditionalFormatting sqref="K2:K8">
    <x:cfRule type="expression" dxfId="53" priority="40">
      <x:formula>K2&gt;=2.4</x:formula>
    </x:cfRule>
    <x:cfRule type="expression" dxfId="54" priority="41">
      <x:formula>AND(K2&gt;=1.7999999999999998,K2&lt;2.4)</x:formula>
    </x:cfRule>
    <x:cfRule type="expression" dxfId="55" priority="42">
      <x:formula>K2&lt;1.7999999999999998</x:formula>
    </x:cfRule>
  </x:conditionalFormatting>
  <x:conditionalFormatting sqref="L2:L8">
    <x:cfRule type="expression" dxfId="56" priority="43">
      <x:formula>L2&gt;=15</x:formula>
    </x:cfRule>
    <x:cfRule type="expression" dxfId="57" priority="44">
      <x:formula>AND(L2&gt;=11.25,L2&lt;15)</x:formula>
    </x:cfRule>
    <x:cfRule type="expression" dxfId="58" priority="45">
      <x:formula>L2&lt;11.25</x:formula>
    </x:cfRule>
  </x:conditionalFormatting>
  <x:conditionalFormatting sqref="M2:M8">
    <x:cfRule type="expression" dxfId="59" priority="46">
      <x:formula>M2&gt;=400</x:formula>
    </x:cfRule>
    <x:cfRule type="expression" dxfId="60" priority="47">
      <x:formula>AND(M2&gt;=300.0,M2&lt;400)</x:formula>
    </x:cfRule>
    <x:cfRule type="expression" dxfId="61" priority="48">
      <x:formula>M2&lt;300.0</x:formula>
    </x:cfRule>
  </x:conditionalFormatting>
  <x:conditionalFormatting sqref="Q2:Q8">
    <x:cfRule type="expression" dxfId="62" priority="49">
      <x:formula>Q2&gt;=900</x:formula>
    </x:cfRule>
    <x:cfRule type="expression" dxfId="63" priority="50">
      <x:formula>AND(Q2&gt;=675.0,Q2&lt;900)</x:formula>
    </x:cfRule>
    <x:cfRule type="expression" dxfId="64" priority="51">
      <x:formula>Q2&lt;675.0</x:formula>
    </x:cfRule>
  </x:conditionalFormatting>
  <x:conditionalFormatting sqref="R2:R8">
    <x:cfRule type="expression" dxfId="65" priority="52">
      <x:formula>R2&gt;=90</x:formula>
    </x:cfRule>
    <x:cfRule type="expression" dxfId="66" priority="53">
      <x:formula>AND(R2&gt;=67.5,R2&lt;90)</x:formula>
    </x:cfRule>
    <x:cfRule type="expression" dxfId="67" priority="54">
      <x:formula>R2&lt;67.5</x:formula>
    </x:cfRule>
  </x:conditionalFormatting>
  <x:conditionalFormatting sqref="S2:S8">
    <x:cfRule type="expression" dxfId="68" priority="55">
      <x:formula>S2&gt;=15</x:formula>
    </x:cfRule>
    <x:cfRule type="expression" dxfId="69" priority="56">
      <x:formula>AND(S2&gt;=11.25,S2&lt;15)</x:formula>
    </x:cfRule>
    <x:cfRule type="expression" dxfId="70" priority="57">
      <x:formula>S2&lt;11.25</x:formula>
    </x:cfRule>
  </x:conditionalFormatting>
  <x:conditionalFormatting sqref="T2:T8">
    <x:cfRule type="expression" dxfId="71" priority="58">
      <x:formula>T2&gt;=120</x:formula>
    </x:cfRule>
    <x:cfRule type="expression" dxfId="72" priority="59">
      <x:formula>AND(T2&gt;=90.0,T2&lt;120)</x:formula>
    </x:cfRule>
    <x:cfRule type="expression" dxfId="73" priority="60">
      <x:formula>T2&lt;90.0</x:formula>
    </x:cfRule>
  </x:conditionalFormatting>
  <x:conditionalFormatting sqref="U2:U8">
    <x:cfRule type="expression" dxfId="74" priority="61">
      <x:formula>U2&gt;=1.2</x:formula>
    </x:cfRule>
    <x:cfRule type="expression" dxfId="75" priority="62">
      <x:formula>AND(U2&gt;=0.8999999999999999,U2&lt;1.2)</x:formula>
    </x:cfRule>
    <x:cfRule type="expression" dxfId="76" priority="63">
      <x:formula>U2&lt;0.8999999999999999</x:formula>
    </x:cfRule>
  </x:conditionalFormatting>
  <x:conditionalFormatting sqref="V2:V8">
    <x:cfRule type="expression" dxfId="77" priority="64">
      <x:formula>V2&gt;=1.3</x:formula>
    </x:cfRule>
    <x:cfRule type="expression" dxfId="78" priority="65">
      <x:formula>AND(V2&gt;=0.9750000000000001,V2&lt;1.3)</x:formula>
    </x:cfRule>
    <x:cfRule type="expression" dxfId="79" priority="66">
      <x:formula>V2&lt;0.9750000000000001</x:formula>
    </x:cfRule>
  </x:conditionalFormatting>
  <x:conditionalFormatting sqref="W2:W8">
    <x:cfRule type="expression" dxfId="80" priority="67">
      <x:formula>W2&gt;=16</x:formula>
    </x:cfRule>
    <x:cfRule type="expression" dxfId="81" priority="68">
      <x:formula>AND(W2&gt;=12.0,W2&lt;16)</x:formula>
    </x:cfRule>
    <x:cfRule type="expression" dxfId="82" priority="69">
      <x:formula>W2&lt;12.0</x:formula>
    </x:cfRule>
  </x:conditionalFormatting>
  <x:conditionalFormatting sqref="X2:X8">
    <x:cfRule type="expression" dxfId="83" priority="70">
      <x:formula>X2&gt;=5</x:formula>
    </x:cfRule>
    <x:cfRule type="expression" dxfId="84" priority="71">
      <x:formula>AND(X2&gt;=3.75,X2&lt;5)</x:formula>
    </x:cfRule>
    <x:cfRule type="expression" dxfId="85" priority="72">
      <x:formula>X2&lt;3.75</x:formula>
    </x:cfRule>
  </x:conditionalFormatting>
  <x:conditionalFormatting sqref="Y2:Y8">
    <x:cfRule type="expression" dxfId="86" priority="73">
      <x:formula>Y2&gt;=1.3</x:formula>
    </x:cfRule>
    <x:cfRule type="expression" dxfId="87" priority="74">
      <x:formula>AND(Y2&gt;=0.9750000000000001,Y2&lt;1.3)</x:formula>
    </x:cfRule>
    <x:cfRule type="expression" dxfId="88" priority="75">
      <x:formula>Y2&lt;0.9750000000000001</x:formula>
    </x:cfRule>
  </x:conditionalFormatting>
  <x:conditionalFormatting sqref="Z2:Z8">
    <x:cfRule type="expression" dxfId="89" priority="76">
      <x:formula>Z2&gt;=30</x:formula>
    </x:cfRule>
    <x:cfRule type="expression" dxfId="90" priority="77">
      <x:formula>AND(Z2&gt;=22.5,Z2&lt;30)</x:formula>
    </x:cfRule>
    <x:cfRule type="expression" dxfId="91" priority="78">
      <x:formula>Z2&lt;22.5</x:formula>
    </x:cfRule>
  </x:conditionalFormatting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26" hidden="0" customWidth="1"/>
    <x:col min="3" max="3" width="78" hidden="0" customWidth="1"/>
  </x:cols>
  <x:sheetData>
    <x:row r="1">
      <x:c r="A1" s="77" t="str">
        <x:v>Nutrient</x:v>
      </x:c>
      <x:c r="B1" s="77" t="str">
        <x:v>Target / guide</x:v>
      </x:c>
      <x:c r="C1" s="77" t="str">
        <x:v>Interpretation</x:v>
      </x:c>
    </x:row>
    <x:row r="2">
      <x:c r="A2" s="10" t="str">
        <x:v>Calories</x:v>
      </x:c>
      <x:c r="B2" s="10" t="str">
        <x:v>1,700–1,900 kcal/day</x:v>
      </x:c>
      <x:c r="C2" s="10" t="str">
        <x:v>Personalized planning range.</x:v>
      </x:c>
    </x:row>
    <x:row r="3">
      <x:c r="A3" s="10" t="str">
        <x:v>Protein</x:v>
      </x:c>
      <x:c r="B3" s="10" t="str">
        <x:v>110–130 g/day</x:v>
      </x:c>
      <x:c r="C3" s="10" t="str">
        <x:v>All days remain inside requested range.</x:v>
      </x:c>
    </x:row>
    <x:row r="4">
      <x:c r="A4" s="10" t="str">
        <x:v>Fiber</x:v>
      </x:c>
      <x:c r="B4" s="10" t="str">
        <x:v>≥38 g/day</x:v>
      </x:c>
      <x:c r="C4" s="10" t="str">
        <x:v>All days meet target.</x:v>
      </x:c>
    </x:row>
    <x:row r="5">
      <x:c r="A5" s="10" t="str">
        <x:v>Calcium</x:v>
      </x:c>
      <x:c r="B5" s="10" t="str">
        <x:v>1,000 mg/day</x:v>
      </x:c>
      <x:c r="C5" s="10" t="str">
        <x:v>All days are approximately at or above target.</x:v>
      </x:c>
    </x:row>
    <x:row r="6">
      <x:c r="A6" s="10" t="str">
        <x:v>Iron</x:v>
      </x:c>
      <x:c r="B6" s="10" t="str">
        <x:v>8 mg/day</x:v>
      </x:c>
      <x:c r="C6" s="10" t="str">
        <x:v>Adult male RDA.</x:v>
      </x:c>
    </x:row>
    <x:row r="7">
      <x:c r="A7" s="10" t="str">
        <x:v>Magnesium</x:v>
      </x:c>
      <x:c r="B7" s="10" t="str">
        <x:v>420 mg/day</x:v>
      </x:c>
      <x:c r="C7" s="10" t="str">
        <x:v>Adult male RDA.</x:v>
      </x:c>
    </x:row>
    <x:row r="8">
      <x:c r="A8" s="10" t="str">
        <x:v>Potassium</x:v>
      </x:c>
      <x:c r="B8" s="10" t="str">
        <x:v>3,400 mg/day</x:v>
      </x:c>
      <x:c r="C8" s="10" t="str">
        <x:v>Adult male AI used in this plan.</x:v>
      </x:c>
    </x:row>
    <x:row r="9">
      <x:c r="A9" s="10" t="str">
        <x:v>Vitamin A total</x:v>
      </x:c>
      <x:c r="B9" s="10" t="str">
        <x:v>900 µg RAE/day</x:v>
      </x:c>
      <x:c r="C9" s="10" t="str">
        <x:v>Adult male RDA; includes provitamin A from plant foods.</x:v>
      </x:c>
    </x:row>
    <x:row r="10">
      <x:c r="A10" s="10" t="str">
        <x:v>Preformed vitamin A</x:v>
      </x:c>
      <x:c r="B10" s="10" t="str">
        <x:v>UL 3,000 µg RAE/day</x:v>
      </x:c>
      <x:c r="C10" s="10" t="str">
        <x:v>Safety limit applies to preformed vitamin A; plant carotenoids are treated separately.</x:v>
      </x:c>
    </x:row>
    <x:row r="11">
      <x:c r="A11" s="10" t="str">
        <x:v>Vitamin C</x:v>
      </x:c>
      <x:c r="B11" s="10" t="str">
        <x:v>90 mg/day</x:v>
      </x:c>
      <x:c r="C11" s="10" t="str">
        <x:v>Adult male RDA.</x:v>
      </x:c>
    </x:row>
    <x:row r="12">
      <x:c r="A12" s="10" t="str">
        <x:v>Vitamin D</x:v>
      </x:c>
      <x:c r="B12" s="10" t="str">
        <x:v>15 µg/day</x:v>
      </x:c>
      <x:c r="C12" s="10" t="str">
        <x:v>Food alone remains below target on most days; clinician-guided supplementation/follow-up remains appropriate.</x:v>
      </x:c>
    </x:row>
    <x:row r="13">
      <x:c r="A13" s="10" t="str">
        <x:v>Vitamin E</x:v>
      </x:c>
      <x:c r="B13" s="10" t="str">
        <x:v>15 mg/day</x:v>
      </x:c>
      <x:c r="C13" s="10" t="str">
        <x:v>Adult RDA. The new sunflower-seed rotation raises food Vitamin E, but generic totals remain below 15 mg/day; unspecified cooking oil is still excluded and could materially change the total.</x:v>
      </x:c>
    </x:row>
    <x:row r="14">
      <x:c r="A14" s="10" t="str">
        <x:v>Vitamin K</x:v>
      </x:c>
      <x:c r="B14" s="10" t="str">
        <x:v>120 µg/day</x:v>
      </x:c>
      <x:c r="C14" s="10" t="str">
        <x:v>Adult male AI. Cooking-oil vitamin K is excluded because the specific oil was not defined.</x:v>
      </x:c>
    </x:row>
    <x:row r="15">
      <x:c r="A15" s="10" t="str">
        <x:v>Vitamin B1 (thiamin)</x:v>
      </x:c>
      <x:c r="B15" s="10" t="str">
        <x:v>1.2 mg/day</x:v>
      </x:c>
      <x:c r="C15" s="10" t="str">
        <x:v>Adult male RDA.</x:v>
      </x:c>
    </x:row>
    <x:row r="16">
      <x:c r="A16" s="10" t="str">
        <x:v>Vitamin B2 (riboflavin)</x:v>
      </x:c>
      <x:c r="B16" s="10" t="str">
        <x:v>1.3 mg/day</x:v>
      </x:c>
      <x:c r="C16" s="10" t="str">
        <x:v>Adult male RDA.</x:v>
      </x:c>
    </x:row>
    <x:row r="17">
      <x:c r="A17" s="10" t="str">
        <x:v>Vitamin B3 (niacin)</x:v>
      </x:c>
      <x:c r="B17" s="10" t="str">
        <x:v>16 mg NE/day</x:v>
      </x:c>
      <x:c r="C17" s="10" t="str">
        <x:v>Adult male RDA; food-composition estimate.</x:v>
      </x:c>
    </x:row>
    <x:row r="18">
      <x:c r="A18" s="10" t="str">
        <x:v>Vitamin B5 (pantothenic acid)</x:v>
      </x:c>
      <x:c r="B18" s="10" t="str">
        <x:v>5 mg/day</x:v>
      </x:c>
      <x:c r="C18" s="10" t="str">
        <x:v>Adult AI.</x:v>
      </x:c>
    </x:row>
    <x:row r="19">
      <x:c r="A19" s="10" t="str">
        <x:v>Vitamin B6</x:v>
      </x:c>
      <x:c r="B19" s="10" t="str">
        <x:v>1.3 mg/day</x:v>
      </x:c>
      <x:c r="C19" s="10" t="str">
        <x:v>Adult RDA for ages 19–50.</x:v>
      </x:c>
    </x:row>
    <x:row r="20">
      <x:c r="A20" s="10" t="str">
        <x:v>Vitamin B7 (biotin)</x:v>
      </x:c>
      <x:c r="B20" s="10" t="str">
        <x:v>30 µg/day</x:v>
      </x:c>
      <x:c r="C20" s="10" t="str">
        <x:v>Adult AI. This is the lowest-confidence vitamin estimate because generic food databases often have incomplete biotin values.</x:v>
      </x:c>
    </x:row>
    <x:row r="21">
      <x:c r="A21" s="10" t="str">
        <x:v>Vitamin B9 (folate)</x:v>
      </x:c>
      <x:c r="B21" s="10" t="str">
        <x:v>400 µg DFE/day</x:v>
      </x:c>
      <x:c r="C21" s="10" t="str">
        <x:v>Adult RDA.</x:v>
      </x:c>
    </x:row>
    <x:row r="22">
      <x:c r="A22" s="10" t="str">
        <x:v>Vitamin B12</x:v>
      </x:c>
      <x:c r="B22" s="10" t="str">
        <x:v>2.4 µg/day</x:v>
      </x:c>
      <x:c r="C22" s="10" t="str">
        <x:v>Adult RDA.</x:v>
      </x:c>
    </x:row>
    <x:row r="23">
      <x:c r="A23" s="10" t="str">
        <x:v>Omega-3</x:v>
      </x:c>
      <x:c r="B23" s="10" t="str">
        <x:v>ALA AI 1.6 g/day planning guide</x:v>
      </x:c>
      <x:c r="C23" s="10" t="str">
        <x:v>Planning figure; not an exact EPA/DHA assessment.</x:v>
      </x:c>
    </x:row>
    <x:row r="24">
      <x:c r="A24" s="10" t="str">
        <x:v>Clinical note</x:v>
      </x:c>
      <x:c r="B24" s="10" t="str">
        <x:v>Not treatment</x:v>
      </x:c>
      <x:c r="C24" s="10" t="str">
        <x:v>Food-composition values are planning estimates and do not replace clinician-directed treatment or laboratory follow-up.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42" hidden="0" customWidth="1"/>
    <x:col min="3" max="3" width="20" hidden="0" customWidth="1"/>
    <x:col min="4" max="4" width="65" hidden="0" customWidth="1"/>
  </x:cols>
  <x:sheetData>
    <x:row r="1">
      <x:c r="A1" s="28" t="str">
        <x:v>#</x:v>
      </x:c>
      <x:c r="B1" s="28" t="str">
        <x:v>Article rule</x:v>
      </x:c>
      <x:c r="C1" s="28" t="str">
        <x:v>Status</x:v>
      </x:c>
      <x:c r="D1" s="28" t="str">
        <x:v>How this plan handles it</x:v>
      </x:c>
    </x:row>
    <x:row r="2">
      <x:c r="A2" s="10" t="n">
        <x:v>1</x:v>
      </x:c>
      <x:c r="B2" s="10" t="str">
        <x:v>Milk + fish</x:v>
      </x:c>
      <x:c r="C2" s="10" t="str">
        <x:v>Avoided</x:v>
      </x:c>
      <x:c r="D2" s="10" t="str">
        <x:v>Tilapia and ocean-perch meals contain no milk/curd/yogurt.</x:v>
      </x:c>
    </x:row>
    <x:row r="3">
      <x:c r="A3" s="10" t="n">
        <x:v>2</x:v>
      </x:c>
      <x:c r="B3" s="10" t="str">
        <x:v>Milk + sour fruits; banana/mango milk combinations are specifically mentioned</x:v>
      </x:c>
      <x:c r="C3" s="10" t="str">
        <x:v>Avoided</x:v>
      </x:c>
      <x:c r="D3" s="10" t="str">
        <x:v>All fruit is eaten separately, about ≥2 h from the milk-containing breakfast and main meals.</x:v>
      </x:c>
    </x:row>
    <x:row r="4">
      <x:c r="A4" s="10" t="n">
        <x:v>3</x:v>
      </x:c>
      <x:c r="B4" s="10" t="str">
        <x:v>Milk + salt</x:v>
      </x:c>
      <x:c r="C4" s="10" t="str">
        <x:v>Avoided conservatively</x:v>
      </x:c>
      <x:c r="D4" s="10" t="str">
        <x:v>Milk-containing breakfasts specify no added salt.</x:v>
      </x:c>
    </x:row>
    <x:row r="5">
      <x:c r="A5" s="10" t="n">
        <x:v>4</x:v>
      </x:c>
      <x:c r="B5" s="10" t="str">
        <x:v>Milk + radish / onion / garlic</x:v>
      </x:c>
      <x:c r="C5" s="10" t="str">
        <x:v>Avoided</x:v>
      </x:c>
      <x:c r="D5" s="10" t="str">
        <x:v>No onion, garlic or radish is included with milk breakfasts.</x:v>
      </x:c>
    </x:row>
    <x:row r="6">
      <x:c r="A6" s="10" t="n">
        <x:v>5</x:v>
      </x:c>
      <x:c r="B6" s="10" t="str">
        <x:v>Milk + meat or chicken</x:v>
      </x:c>
      <x:c r="C6" s="10" t="str">
        <x:v>Avoided</x:v>
      </x:c>
      <x:c r="D6" s="10" t="str">
        <x:v>Chicken/goat meals contain no dairy.</x:v>
      </x:c>
    </x:row>
    <x:row r="7">
      <x:c r="A7" s="10" t="n">
        <x:v>6</x:v>
      </x:c>
      <x:c r="B7" s="10" t="str">
        <x:v>Curd at night</x:v>
      </x:c>
      <x:c r="C7" s="10" t="str">
        <x:v>Avoided</x:v>
      </x:c>
      <x:c r="D7" s="10" t="str">
        <x:v>No curd/yogurt appears at dinner.</x:v>
      </x:c>
    </x:row>
    <x:row r="8">
      <x:c r="A8" s="10" t="n">
        <x:v>7</x:v>
      </x:c>
      <x:c r="B8" s="10" t="str">
        <x:v>Curd with hot food</x:v>
      </x:c>
      <x:c r="C8" s="10" t="str">
        <x:v>Avoided conservatively</x:v>
      </x:c>
      <x:c r="D8" s="10" t="str">
        <x:v>Curd/yogurt is removed from cooked main meals.</x:v>
      </x:c>
    </x:row>
    <x:row r="9">
      <x:c r="A9" s="10" t="n">
        <x:v>8</x:v>
      </x:c>
      <x:c r="B9" s="10" t="str">
        <x:v>Curd + fruits</x:v>
      </x:c>
      <x:c r="C9" s="10" t="str">
        <x:v>Avoided</x:v>
      </x:c>
      <x:c r="D9" s="10" t="str">
        <x:v>No curd/yogurt with fruit.</x:v>
      </x:c>
    </x:row>
    <x:row r="10">
      <x:c r="A10" s="10" t="n">
        <x:v>9</x:v>
      </x:c>
      <x:c r="B10" s="10" t="str">
        <x:v>Curd + jaggery in equal quantity</x:v>
      </x:c>
      <x:c r="C10" s="10" t="str">
        <x:v>Not present</x:v>
      </x:c>
      <x:c r="D10" s="10" t="str">
        <x:v>No curd+jaggery pairing.</x:v>
      </x:c>
    </x:row>
    <x:row r="11">
      <x:c r="A11" s="10" t="n">
        <x:v>10</x:v>
      </x:c>
      <x:c r="B11" s="10" t="str">
        <x:v>Honey + ghee in equal quantity</x:v>
      </x:c>
      <x:c r="C11" s="10" t="str">
        <x:v>Not present</x:v>
      </x:c>
      <x:c r="D11" s="10" t="str">
        <x:v>No honey or ghee combination.</x:v>
      </x:c>
    </x:row>
    <x:row r="12">
      <x:c r="A12" s="10" t="n">
        <x:v>11</x:v>
      </x:c>
      <x:c r="B12" s="10" t="str">
        <x:v>Heated or cooked honey</x:v>
      </x:c>
      <x:c r="C12" s="10" t="str">
        <x:v>Not present</x:v>
      </x:c>
      <x:c r="D12" s="10" t="str">
        <x:v>No honey is used.</x:v>
      </x:c>
    </x:row>
    <x:row r="13">
      <x:c r="A13" s="10" t="n">
        <x:v>12</x:v>
      </x:c>
      <x:c r="B13" s="10" t="str">
        <x:v>Honey + hot water</x:v>
      </x:c>
      <x:c r="C13" s="10" t="str">
        <x:v>Not present</x:v>
      </x:c>
      <x:c r="D13" s="10" t="str">
        <x:v>No honey is used.</x:v>
      </x:c>
    </x:row>
    <x:row r="14">
      <x:c r="A14" s="10" t="n">
        <x:v>13</x:v>
      </x:c>
      <x:c r="B14" s="10" t="str">
        <x:v>Honey + ghee + sesame in equal parts</x:v>
      </x:c>
      <x:c r="C14" s="10" t="str">
        <x:v>Not present</x:v>
      </x:c>
      <x:c r="D14" s="10" t="str">
        <x:v>Sesame is used, but no honey/ghee are used.</x:v>
      </x:c>
    </x:row>
    <x:row r="15">
      <x:c r="A15" s="10" t="n">
        <x:v>14</x:v>
      </x:c>
      <x:c r="B15" s="10" t="str">
        <x:v>Cold water immediately after a meal</x:v>
      </x:c>
      <x:c r="C15" s="10" t="str">
        <x:v>Behavioral instruction</x:v>
      </x:c>
      <x:c r="D15" s="10" t="str">
        <x:v>Avoid ice-cold water immediately after meals; normal hydration can occur between meals.</x:v>
      </x:c>
    </x:row>
    <x:row r="16">
      <x:c r="A16" s="10" t="n">
        <x:v>15</x:v>
      </x:c>
      <x:c r="B16" s="10" t="str">
        <x:v>Hot tea with biscuits and cold sweets</x:v>
      </x:c>
      <x:c r="C16" s="10" t="str">
        <x:v>Not in plan</x:v>
      </x:c>
      <x:c r="D16" s="10" t="str">
        <x:v>No tea+biscuit+cold-sweet snack combination is scheduled.</x:v>
      </x:c>
    </x:row>
    <x:row r="17">
      <x:c r="A17" s="10" t="n">
        <x:v>16</x:v>
      </x:c>
      <x:c r="B17" s="10" t="str">
        <x:v>Ice cream immediately after hot curry</x:v>
      </x:c>
      <x:c r="C17" s="10" t="str">
        <x:v>Not in plan</x:v>
      </x:c>
      <x:c r="D17" s="10" t="str">
        <x:v>No ice cream/dessert pairing is scheduled.</x:v>
      </x:c>
    </x:row>
    <x:row r="18">
      <x:c r="A18" s="10" t="n">
        <x:v>17</x:v>
      </x:c>
      <x:c r="B18" s="10" t="str">
        <x:v>Eating before the previous meal is digested</x:v>
      </x:c>
      <x:c r="C18" s="10" t="str">
        <x:v>Behavioral instruction</x:v>
      </x:c>
      <x:c r="D18" s="10" t="str">
        <x:v>Keep the planned meal spacing; do not add extra meals/snacks if the prior meal still feels undigested.</x:v>
      </x:c>
    </x:row>
    <x:row r="19">
      <x:c r="A19" s="10" t="n">
        <x:v>18</x:v>
      </x:c>
      <x:c r="B19" s="10" t="str">
        <x:v>Eating heavy food when tired, stressed, angry or grieving</x:v>
      </x:c>
      <x:c r="C19" s="10" t="str">
        <x:v>Behavioral instruction</x:v>
      </x:c>
      <x:c r="D19" s="10" t="str">
        <x:v>Ingredient list cannot guarantee emotional state; if markedly stressed/tired, avoid forcing a heavy meal.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54" hidden="0" customWidth="1"/>
    <x:col min="3" max="3" width="85" hidden="0" customWidth="1"/>
  </x:cols>
  <x:sheetData>
    <x:row r="1">
      <x:c r="A1" s="88" t="str">
        <x:v>Topic</x:v>
      </x:c>
      <x:c r="B1" s="88" t="str">
        <x:v>Source / URL</x:v>
      </x:c>
      <x:c r="C1" s="88" t="str">
        <x:v>Use</x:v>
      </x:c>
    </x:row>
    <x:row r="2">
      <x:c r="A2" s="10" t="str">
        <x:v>Food composition</x:v>
      </x:c>
      <x:c r="B2" s="10" t="str">
        <x:v>https://fdc.nal.usda.gov/</x:v>
      </x:c>
      <x:c r="C2" s="10" t="str">
        <x:v>Generic USDA FoodData Central foods; values rounded for planning. Brand-specific foods can differ.</x:v>
      </x:c>
    </x:row>
    <x:row r="3">
      <x:c r="A3" s="10" t="str">
        <x:v>DRI fact sheets</x:v>
      </x:c>
      <x:c r="B3" s="10" t="str">
        <x:v>https://ods.od.nih.gov/factsheets/List-VitaminsMinerals/</x:v>
      </x:c>
      <x:c r="C3" s="10" t="str">
        <x:v>Adult vitamin/mineral reference targets and safety context.</x:v>
      </x:c>
    </x:row>
    <x:row r="4">
      <x:c r="A4" s="10" t="str">
        <x:v>Ayurvedic rule set</x:v>
      </x:c>
      <x:c r="B4" s="10" t="str">
        <x:v>https://ayurvedahub.in/blogs/ayurvedic-wellness/viruddha-ahara-wrong-food-combinations-ayurveda-ashtanga-hridaya</x:v>
      </x:c>
      <x:c r="C4" s="10" t="str">
        <x:v>Primary requested basis for the 18 food-combination avoidance rules.</x:v>
      </x:c>
    </x:row>
    <x:row r="5">
      <x:c r="A5" s="10" t="str">
        <x:v>2026 EWG Dirty Dozen</x:v>
      </x:c>
      <x:c r="B5" s="10" t="str">
        <x:v>https://www.ewg.org/foodnews/dirty-dozen.php</x:v>
      </x:c>
      <x:c r="C5" s="10" t="str">
        <x:v>Excluded from this plan per user preference.</x:v>
      </x:c>
    </x:row>
    <x:row r="6">
      <x:c r="A6" s="10" t="str">
        <x:v>2026 EWG Clean Fifteen</x:v>
      </x:c>
      <x:c r="B6" s="10" t="str">
        <x:v>https://www.ewg.org/foodnews/full-list.php</x:v>
      </x:c>
      <x:c r="C6" s="10" t="str">
        <x:v>Prioritized where nutritionally appropriate per user preference.</x:v>
      </x:c>
    </x:row>
    <x:row r="7">
      <x:c r="A7" s="10" t="str">
        <x:v>FDA/EPA fish advice</x:v>
      </x:c>
      <x:c r="B7" s="10" t="str">
        <x:v>https://www.fda.gov/food/consumers/advice-about-eating-fish</x:v>
      </x:c>
      <x:c r="C7" s="10" t="str">
        <x:v>Tilapia and perch (freshwater/ocean) are listed as Best Choices for mercury.</x:v>
      </x:c>
    </x:row>
    <x:row r="8">
      <x:c r="A8" s="10" t="str">
        <x:v>Cod liver</x:v>
      </x:c>
      <x:c r="B8" s="10" t="str">
        <x:v>User-provided ICAN label</x:v>
      </x:c>
      <x:c r="C8" s="10" t="str">
        <x:v>20 g once weekly; vitamin A/D scaled from label. Not increased because of concentrated preformed vitamin A.</x:v>
      </x:c>
    </x:row>
    <x:row r="9">
      <x:c r="A9" s="10" t="str">
        <x:v>Method</x:v>
      </x:c>
      <x:c r="B9" s="10" t="str">
        <x:v>Planning calculation</x:v>
      </x:c>
      <x:c r="C9" s="10" t="str">
        <x:v>Generic per-100-g values were multiplied by listed edible weights. Grains/legumes are dry; meats/fish raw edible weight; produce pre-cooking. Values are rounded and not laboratory-precise.</x:v>
      </x:c>
    </x:row>
    <x:row r="10">
      <x:c r="A10" s="10" t="str">
        <x:v>Sat-fat / vitamin-A audit</x:v>
      </x:c>
      <x:c r="B10" s="10" t="str">
        <x:v>Generic USDA-style food-composition planning values + ICAN label</x:v>
      </x:c>
      <x:c r="C10" s="10" t="str">
        <x:v>Saturated fat is estimated using generic foods and generic cooking oil; preformed vitamin A tracks retinol-type sources relevant to the 3,000 µg RAE UL, not plant carotenoids.</x:v>
      </x:c>
    </x:row>
    <x:row r="11">
      <x:c r="A11" s="10" t="str">
        <x:v>Breakfast seed rotation</x:v>
      </x:c>
      <x:c r="B11" s="10" t="str">
        <x:v>This revision + https://fdc.nal.usda.gov/</x:v>
      </x:c>
      <x:c r="C11" s="10" t="str">
        <x:v>Breakfast seeds now rotate chia, ground flax, hemp hearts, pumpkin, sunflower and sesame. Chia/flax/hemp preserve omega-3 planning coverage; sunflower improves vitamin E exposure.</x:v>
      </x:c>
    </x:row>
    <x:row r="12">
      <x:c r="A12" s="10" t="str">
        <x:v>Important limitation</x:v>
      </x:c>
      <x:c r="B12" s="10" t="str">
        <x:v>USDA generic foods are not the exact brands you buy.</x:v>
      </x:c>
      <x:c r="C12" s="10" t="str">
        <x:v>For label-specific precision, substitute package labels or exact FoodData Central IDs.</x:v>
      </x:c>
    </x:row>
    <x:row r="13">
      <x:c r="A13" s="10" t="str">
        <x:v>Complete vitamin panel</x:v>
      </x:c>
      <x:c r="B13" s="10" t="str">
        <x:v>Generic USDA-style food-composition planning values</x:v>
      </x:c>
      <x:c r="C13" s="10" t="str">
        <x:v>Added Vitamin A total, C, E, K, B1, B2, B3, B5, B6 and estimated B7 to Daily Nutrition. Existing D, B9 and B12 columns were retained and renamed clearly.</x:v>
      </x:c>
    </x:row>
    <x:row r="14">
      <x:c r="A14" s="10" t="str">
        <x:v>Vitamin E/K from oil</x:v>
      </x:c>
      <x:c r="B14" s="10" t="str">
        <x:v>Not included</x:v>
      </x:c>
      <x:c r="C14" s="10" t="str">
        <x:v>The meal plan says only 'cooking oil' without specifying oil type; vitamin E and K contributions from oil vary substantially, so they are conservatively excluded.</x:v>
      </x:c>
    </x:row>
    <x:row r="15">
      <x:c r="A15" s="10" t="str">
        <x:v>Biotin (B7) limitation</x:v>
      </x:c>
      <x:c r="B15" s="10" t="str">
        <x:v>Estimated</x:v>
      </x:c>
      <x:c r="C15" s="10" t="str">
        <x:v>Biotin values are less consistently reported in generic food-composition databases. B7 is included as an estimate and should not be treated as laboratory-precise.</x:v>
      </x:c>
    </x:row>
    <x:row r="16">
      <x:c r="A16" s="10" t="str">
        <x:v>New seed profiles</x:v>
      </x:c>
      <x:c r="B16" s="10" t="str">
        <x:v>https://fdc.nal.usda.gov/</x:v>
      </x:c>
      <x:c r="C16" s="10" t="str">
        <x:v>Hemp, pumpkin and sunflower values use generic FoodData Central-style planning profiles; exact brands can differ.</x:v>
      </x:c>
    </x:row>
    <x:row r="17">
      <x:c r="A17" s="10" t="str">
        <x:v>Overnight grain approximation</x:v>
      </x:c>
      <x:c r="B17" s="10" t="str">
        <x:v>Planning approximation</x:v>
      </x:c>
      <x:c r="C17" s="10" t="str">
        <x:v>Ready-to-eat ragi flakes are modeled with the ragi grain/flour planning profile; poha is modeled with a generic flattened/parboiled rice profile. Exact package labels should replace these estimates when purchased.</x:v>
      </x:c>
    </x:row>
    <x:row r="18">
      <x:c r="A18" s="10" t="str">
        <x:v>Breakfast alternative method</x:v>
      </x:c>
      <x:c r="B18" s="10" t="str">
        <x:v>This revision</x:v>
      </x:c>
      <x:c r="C18" s="10" t="str">
        <x:v>Projected full-day totals are calculated by replacing the revised Option 1 breakfast with each alternative while leaving the rest of that day unchanged.</x:v>
      </x:c>
    </x:row>
    <x:row r="19">
      <x:c r="A19" s="10" t="str">
        <x:v>YouTube recipe references</x:v>
      </x:c>
      <x:c r="B19" s="10" t="str">
        <x:v>YouTube public videos / searches</x:v>
      </x:c>
      <x:c r="C19" s="10" t="str">
        <x:v>Added as optional technique references only; they are not the nutrition source of truth for this workbook.</x:v>
      </x:c>
    </x:row>
    <x:row r="20">
      <x:c r="A20" s="10" t="str">
        <x:v>YouTube matching method</x:v>
      </x:c>
      <x:c r="B20" s="10" t="str">
        <x:v>Closest verified recipe technique</x:v>
      </x:c>
      <x:c r="C20" s="10" t="str">
        <x:v>Where no close exact video was verified, a YouTube search fallback is labeled as such instead of presenting it as an exact match.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0" hidden="0" customWidth="1"/>
    <x:col min="3" max="3" width="39" hidden="0" customWidth="1"/>
    <x:col min="4" max="4" width="8" hidden="0" customWidth="1"/>
    <x:col min="5" max="5" width="30" hidden="0" customWidth="1"/>
    <x:col min="6" max="6" width="20" hidden="0" customWidth="1"/>
    <x:col min="7" max="7" width="22" hidden="0" customWidth="1"/>
    <x:col min="8" max="8" width="15" hidden="0" customWidth="1"/>
    <x:col min="9" max="9" width="15" hidden="0" customWidth="1"/>
    <x:col min="10" max="10" width="15" hidden="0" customWidth="1"/>
    <x:col min="11" max="11" width="62" hidden="0" customWidth="1"/>
    <x:col min="12" max="12" width="38" hidden="0" customWidth="1"/>
    <x:col min="13" max="13" width="48" hidden="0" customWidth="1"/>
    <x:col min="14" max="14" width="24" hidden="0" customWidth="1"/>
    <x:col min="15" max="15" width="62" hidden="0" customWidth="1"/>
  </x:cols>
  <x:sheetData>
    <x:row r="1">
      <x:c r="A1" s="80" t="str">
        <x:v>Day</x:v>
      </x:c>
      <x:c r="B1" s="80" t="str">
        <x:v>Meal / Timing</x:v>
      </x:c>
      <x:c r="C1" s="80" t="str">
        <x:v>Exact Ingredients</x:v>
      </x:c>
      <x:c r="D1" s="80" t="str">
        <x:v>Option</x:v>
      </x:c>
      <x:c r="E1" s="80" t="str">
        <x:v>Recipe</x:v>
      </x:c>
      <x:c r="F1" s="80" t="str">
        <x:v>Style</x:v>
      </x:c>
      <x:c r="G1" s="80" t="str">
        <x:v>Equipment</x:v>
      </x:c>
      <x:c r="H1" s="80" t="str">
        <x:v>Active Prep</x:v>
      </x:c>
      <x:c r="I1" s="80" t="str">
        <x:v>Cook Time</x:v>
      </x:c>
      <x:c r="J1" s="80" t="str">
        <x:v>Batch Friendly</x:v>
      </x:c>
      <x:c r="K1" s="80" t="str">
        <x:v>Method</x:v>
      </x:c>
      <x:c r="L1" s="80" t="str">
        <x:v>Effort / Use</x:v>
      </x:c>
      <x:c r="M1" s="103" t="str">
        <x:v>YouTube Recipe Reference</x:v>
      </x:c>
      <x:c r="N1" s="103" t="str">
        <x:v>Reference Type</x:v>
      </x:c>
      <x:c r="O1" s="103" t="str">
        <x:v>Reference Note</x:v>
      </x:c>
    </x:row>
    <x:row r="2" ht="88" customHeight="1">
      <x:c r="A2" s="41" t="str">
        <x:v>Day 1</x:v>
      </x:c>
      <x:c r="B2" s="41" t="str">
        <x:v>Breakfast</x:v>
      </x:c>
      <x:c r="C2" s="41" t="str">
        <x:v>Oats 45 g
Low-fat milk 300 ml
Whole eggs 1
Egg whites 100 g
Mushrooms [CF] 100 g
SEPARATE SEED SIDE:
Chia seeds 8 g
Ground flaxseed 7 g
Hemp hearts 5 g
No added salt; no onion/garlic in this milk-containing meal
Do not mix seeds into the milk/grain bowl</x:v>
      </x:c>
      <x:c r="D2" s="41" t="n">
        <x:v>1</x:v>
      </x:c>
      <x:c r="E2" s="41" t="str">
        <x:v>Warm Oats + Eggs + Separate Seed Side</x:v>
      </x:c>
      <x:c r="F2" s="41" t="str">
        <x:v>Recommended cooked</x:v>
      </x:c>
      <x:c r="G2" s="41" t="str">
        <x:v>Pan + cup</x:v>
      </x:c>
      <x:c r="H2" s="41" t="str">
        <x:v>6–8 min</x:v>
      </x:c>
      <x:c r="I2" s="41" t="str">
        <x:v>6–10 min</x:v>
      </x:c>
      <x:c r="J2" s="41" t="str">
        <x:v>Yes</x:v>
      </x:c>
      <x:c r="K2" s="41" t="str">
        <x:v>Cook the listed oats/ragi with milk. Cook or use batch-prepared eggs/egg whites separately. Eat the measured seed mix from a separate small bowl/container; do not stir it into the milk/grain meal.</x:v>
      </x:c>
      <x:c r="L2" s="41" t="str">
        <x:v>Recommended default; seed rotation adds variety without changing the rest of the day.</x:v>
      </x:c>
      <x:c r="M2" s="10" t="str">
        <x:v>https://www.youtube.com/results?search_query=Indian+oats+egg+breakfast+recipe</x:v>
      </x:c>
      <x:c r="N2" s="10" t="str">
        <x:v>YouTube search fallback</x:v>
      </x:c>
      <x:c r="O2" s="10" t="str">
        <x:v>No close exact direct video verified; use only as a technique reference.</x:v>
      </x:c>
    </x:row>
    <x:row r="3" ht="88" customHeight="1">
      <x:c r="A3" s="41" t="str">
        <x:v>Day 1</x:v>
      </x:c>
      <x:c r="B3" s="41" t="str">
        <x:v>Breakfast</x:v>
      </x:c>
      <x:c r="C3" s="41" t="str">
        <x:v>Ragi flour 25 g
Moong dal (dry) 25 g
Low-fat milk 275 ml
Whole eggs 1
Egg whites 50 g
Cooking oil 2 g
SEPARATE SEED SIDE:
Chia seeds 8 g
Ground flaxseed 7 g
Hemp hearts 5 g
No added salt; no onion/garlic because milk is part of this breakfast</x:v>
      </x:c>
      <x:c r="D3" s="41" t="n">
        <x:v>2</x:v>
      </x:c>
      <x:c r="E3" s="41" t="str">
        <x:v>Unsalted Ragi-Moong Chilla + Milk + Egg</x:v>
      </x:c>
      <x:c r="F3" s="41" t="str">
        <x:v>Indian cooked variety</x:v>
      </x:c>
      <x:c r="G3" s="41" t="str">
        <x:v>Nonstick pan + cup</x:v>
      </x:c>
      <x:c r="H3" s="41" t="str">
        <x:v>5–7 min</x:v>
      </x:c>
      <x:c r="I3" s="41" t="str">
        <x:v>6–10 min</x:v>
      </x:c>
      <x:c r="J3" s="41" t="str">
        <x:v>Partial</x:v>
      </x:c>
      <x:c r="K3" s="41" t="str">
        <x:v>Use soaked/batch-ground moong with ragi and permitted salt-free spices to make thin chillas with exactly 2 g oil. Serve milk, egg/egg whites and the seed side separately. No added salt/onion/garlic.</x:v>
      </x:c>
      <x:c r="L3" s="41" t="str">
        <x:v>Higher variety; batter can be prepared in advance.</x:v>
      </x:c>
      <x:c r="M3" s="10" t="str">
        <x:v>https://www.youtube.com/watch?v=6JXC5N9hF6k</x:v>
      </x:c>
      <x:c r="N3" s="10" t="str">
        <x:v>Direct reference</x:v>
      </x:c>
      <x:c r="O3" s="10" t="str">
        <x:v>Hebbars Kitchen — Moong Dal Chilla</x:v>
      </x:c>
    </x:row>
    <x:row r="4" ht="88" customHeight="1">
      <x:c r="A4" s="41" t="str">
        <x:v>Day 1</x:v>
      </x:c>
      <x:c r="B4" s="41" t="str">
        <x:v>Breakfast</x:v>
      </x:c>
      <x:c r="C4" s="41" t="str">
        <x:v>Thick poha / flattened rice (dry) 25 g
Moong dal (dry) 20 g
Frozen sweet peas [CF] 50 g
Low-fat milk 285 ml
Whole eggs 1
Egg whites 50 g
Cooking oil 2 g
SEPARATE SEED SIDE:
Chia seeds 8 g
Ground flaxseed 7 g
Hemp hearts 5 g
No added salt; no onion/garlic because milk is part of this breakfast</x:v>
      </x:c>
      <x:c r="D4" s="41" t="n">
        <x:v>3</x:v>
      </x:c>
      <x:c r="E4" s="41" t="str">
        <x:v>Unsalted Poha-Moong Egg Bowl + Milk</x:v>
      </x:c>
      <x:c r="F4" s="41" t="str">
        <x:v>Indian cooked variety</x:v>
      </x:c>
      <x:c r="G4" s="41" t="str">
        <x:v>Pan + cup</x:v>
      </x:c>
      <x:c r="H4" s="41" t="str">
        <x:v>6–8 min</x:v>
      </x:c>
      <x:c r="I4" s="41" t="str">
        <x:v>6–10 min</x:v>
      </x:c>
      <x:c r="J4" s="41" t="str">
        <x:v>Partial</x:v>
      </x:c>
      <x:c r="K4" s="41" t="str">
        <x:v>Soften poha, fold in cooked moong and peas, and heat with permitted salt-free spices using exactly 2 g oil. Serve milk and eggs separately. Eat the seed mix separately. No added salt/onion/garlic.</x:v>
      </x:c>
      <x:c r="L4" s="41" t="str">
        <x:v>Different grain/texture from oats and ragi.</x:v>
      </x:c>
      <x:c r="M4" s="10" t="str">
        <x:v>https://www.youtube.com/watch?v=qaEo1czH9sw</x:v>
      </x:c>
      <x:c r="N4" s="10" t="str">
        <x:v>Direct reference</x:v>
      </x:c>
      <x:c r="O4" s="10" t="str">
        <x:v>Hebbars Kitchen — Poha Recipe</x:v>
      </x:c>
    </x:row>
    <x:row r="5" ht="88" customHeight="1">
      <x:c r="A5" s="41" t="str">
        <x:v>Day 1</x:v>
      </x:c>
      <x:c r="B5" s="41" t="str">
        <x:v>Breakfast</x:v>
      </x:c>
      <x:c r="C5" s="41" t="str">
        <x:v>Rolled oats 40 g
Ready-to-eat / steam-processed ragi flakes 10 g
Low-fat milk 300 ml
Whole eggs 1
Batch-cooked egg whites 100 g
SEPARATE SEED SIDE:
Chia seeds 8 g
Ground flaxseed 7 g
Hemp hearts 5 g
No added salt; no onion/garlic
Use RTE/steam-processed ragi flakes only — not raw ragi flour</x:v>
      </x:c>
      <x:c r="D5" s="41" t="n">
        <x:v>4</x:v>
      </x:c>
      <x:c r="E5" s="41" t="str">
        <x:v>Overnight No-Cook Breakfast Jar + Pre-Cooked Eggs</x:v>
      </x:c>
      <x:c r="F5" s="41" t="str">
        <x:v>NO-COOK MORNING</x:v>
      </x:c>
      <x:c r="G5" s="41" t="str">
        <x:v>Jar / refrigerator</x:v>
      </x:c>
      <x:c r="H5" s="41" t="str">
        <x:v>0 min morning</x:v>
      </x:c>
      <x:c r="I5" s="41" t="str">
        <x:v>0</x:v>
      </x:c>
      <x:c r="J5" s="41" t="str">
        <x:v>Yes</x:v>
      </x:c>
      <x:c r="K5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5" s="41" t="str">
        <x:v>Zero-cook morning option; seeds stay separate.</x:v>
      </x:c>
      <x:c r="M5" s="10" t="str">
        <x:v>https://www.youtube.com/watch?v=NeBf5ewmI0A</x:v>
      </x:c>
      <x:c r="N5" s="10" t="str">
        <x:v>Direct reference</x:v>
      </x:c>
      <x:c r="O5" s="10" t="str">
        <x:v>Clean &amp; Delicious — Overnight Oats 6 Ways</x:v>
      </x:c>
    </x:row>
    <x:row r="6" ht="88" customHeight="1">
      <x:c r="A6" s="41" t="str">
        <x:v>Day 1</x:v>
      </x:c>
      <x:c r="B6" s="41" t="str">
        <x:v>Mid-morning fruit</x:v>
      </x:c>
      <x:c r="C6" s="41" t="str">
        <x:v>Papaya [CF] 150 g
Eat alone; ≥2 h after breakfast and ≥2 h before lunch</x:v>
      </x:c>
      <x:c r="D6" s="41" t="n">
        <x:v>1</x:v>
      </x:c>
      <x:c r="E6" s="41" t="str">
        <x:v>Plain Papaya</x:v>
      </x:c>
      <x:c r="F6" s="41" t="str">
        <x:v>Fresh</x:v>
      </x:c>
      <x:c r="G6" s="41" t="str">
        <x:v>None</x:v>
      </x:c>
      <x:c r="H6" s="41" t="str">
        <x:v>2 min</x:v>
      </x:c>
      <x:c r="I6" s="41" t="str">
        <x:v>0</x:v>
      </x:c>
      <x:c r="J6" s="41" t="str">
        <x:v>No</x:v>
      </x:c>
      <x:c r="K6" s="41" t="str">
        <x:v>Prepare the measured papaya and eat it by itself.</x:v>
      </x:c>
      <x:c r="L6" s="41" t="str">
        <x:v>Fruit remains literally alone; no dairy or seasonings.</x:v>
      </x:c>
      <x:c r="M6" s="10" t="str"/>
      <x:c r="N6" s="10" t="str">
        <x:v>Not needed</x:v>
      </x:c>
      <x:c r="O6" s="10" t="str">
        <x:v>Fresh fruit is eaten alone; no recipe video needed.</x:v>
      </x:c>
    </x:row>
    <x:row r="7" ht="88" customHeight="1">
      <x:c r="A7" s="41" t="str">
        <x:v>Day 1</x:v>
      </x:c>
      <x:c r="B7" s="41" t="str">
        <x:v>Mid-morning fruit</x:v>
      </x:c>
      <x:c r="C7" s="41" t="str">
        <x:v>Papaya [CF] 150 g
Eat alone; ≥2 h after breakfast and ≥2 h before lunch</x:v>
      </x:c>
      <x:c r="D7" s="41" t="n">
        <x:v>2</x:v>
      </x:c>
      <x:c r="E7" s="41" t="str">
        <x:v>Chilled Papaya</x:v>
      </x:c>
      <x:c r="F7" s="41" t="str">
        <x:v>Fresh</x:v>
      </x:c>
      <x:c r="G7" s="41" t="str">
        <x:v>None</x:v>
      </x:c>
      <x:c r="H7" s="41" t="str">
        <x:v>2 min</x:v>
      </x:c>
      <x:c r="I7" s="41" t="str">
        <x:v>0</x:v>
      </x:c>
      <x:c r="J7" s="41" t="str">
        <x:v>No</x:v>
      </x:c>
      <x:c r="K7" s="41" t="str">
        <x:v>Chill the measured papaya and eat it by itself; do not add seasonings or other foods.</x:v>
      </x:c>
      <x:c r="L7" s="41" t="str">
        <x:v>Fruit remains literally alone; no dairy or seasonings.</x:v>
      </x:c>
      <x:c r="M7" s="10" t="str"/>
      <x:c r="N7" s="10" t="str">
        <x:v>Not needed</x:v>
      </x:c>
      <x:c r="O7" s="10" t="str">
        <x:v>Fresh fruit is eaten alone; no recipe video needed.</x:v>
      </x:c>
    </x:row>
    <x:row r="8" ht="88" customHeight="1">
      <x:c r="A8" s="41" t="str">
        <x:v>Day 1</x:v>
      </x:c>
      <x:c r="B8" s="41" t="str">
        <x:v>Mid-morning fruit</x:v>
      </x:c>
      <x:c r="C8" s="41" t="str">
        <x:v>Papaya [CF] 150 g
Eat alone; ≥2 h after breakfast and ≥2 h before lunch</x:v>
      </x:c>
      <x:c r="D8" s="41" t="n">
        <x:v>3</x:v>
      </x:c>
      <x:c r="E8" s="41" t="str">
        <x:v>Papaya - Alternate Cut</x:v>
      </x:c>
      <x:c r="F8" s="41" t="str">
        <x:v>Fresh</x:v>
      </x:c>
      <x:c r="G8" s="41" t="str">
        <x:v>None</x:v>
      </x:c>
      <x:c r="H8" s="41" t="str">
        <x:v>2 min</x:v>
      </x:c>
      <x:c r="I8" s="41" t="str">
        <x:v>0</x:v>
      </x:c>
      <x:c r="J8" s="41" t="str">
        <x:v>No</x:v>
      </x:c>
      <x:c r="K8" s="41" t="str">
        <x:v>Slice, dice, or lightly mash the measured papaya for a different texture; eat it by itself.</x:v>
      </x:c>
      <x:c r="L8" s="41" t="str">
        <x:v>Fruit remains literally alone; no dairy or seasonings.</x:v>
      </x:c>
      <x:c r="M8" s="10" t="str"/>
      <x:c r="N8" s="10" t="str">
        <x:v>Not needed</x:v>
      </x:c>
      <x:c r="O8" s="10" t="str">
        <x:v>Fresh fruit is eaten alone; no recipe video needed.</x:v>
      </x:c>
    </x:row>
    <x:row r="9" ht="88" customHeight="1">
      <x:c r="A9" s="41" t="str">
        <x:v>Day 1</x:v>
      </x:c>
      <x:c r="B9" s="41" t="str">
        <x:v>Lunch</x:v>
      </x:c>
      <x:c r="C9" s="41" t="str">
        <x:v>Chicken breast 100 g
ICAN cod liver 20 g
Rice (dry) 45 g
Toor dal (dry) 35 g
Asparagus [CF] 100 g
Cauliflower [CF] 150 g
Onion [CF] 40 g
Sesame seeds 12 g
Cooking oil 3 g
No milk/curd/yogurt</x:v>
      </x:c>
      <x:c r="D9" s="41" t="n">
        <x:v>1</x:v>
      </x:c>
      <x:c r="E9" s="41" t="str">
        <x:v>Chicken-Toor Dal Rice Bowl</x:v>
      </x:c>
      <x:c r="F9" s="41" t="str">
        <x:v>South Indian-inspired</x:v>
      </x:c>
      <x:c r="G9" s="41" t="str">
        <x:v>Instant Pot + pan</x:v>
      </x:c>
      <x:c r="H9" s="41" t="str">
        <x:v>8 min</x:v>
      </x:c>
      <x:c r="I9" s="41" t="str">
        <x:v>15–20 min</x:v>
      </x:c>
      <x:c r="J9" s="41" t="str">
        <x:v>Yes</x:v>
      </x:c>
      <x:c r="K9" s="41" t="str">
        <x:v>Pressure-cook toor dal with onion, asparagus, cauliflower, turmeric, cumin and ginger. Lightly sauté chicken using only the listed oil. Serve with cooked rice, sesame, and cod liver separately without heating.</x:v>
      </x:c>
      <x:c r="L9" s="41" t="str">
        <x:v>Recommended — Best batch option</x:v>
      </x:c>
      <x:c r="M9" s="10" t="str">
        <x:v>https://www.youtube.com/results?search_query=chicken+toor+dal+recipe</x:v>
      </x:c>
      <x:c r="N9" s="10" t="str">
        <x:v>YouTube search fallback</x:v>
      </x:c>
      <x:c r="O9" s="10" t="str">
        <x:v>No close exact direct video verified.</x:v>
      </x:c>
    </x:row>
    <x:row r="10" ht="88" customHeight="1">
      <x:c r="A10" s="41" t="str">
        <x:v>Day 1</x:v>
      </x:c>
      <x:c r="B10" s="41" t="str">
        <x:v>Lunch</x:v>
      </x:c>
      <x:c r="C10" s="41" t="str">
        <x:v>Chicken breast 100 g
ICAN cod liver 20 g
Rice (dry) 45 g
Toor dal (dry) 35 g
Asparagus [CF] 100 g
Cauliflower [CF] 150 g
Onion [CF] 40 g
Sesame seeds 12 g
Cooking oil 3 g
No milk/curd/yogurt</x:v>
      </x:c>
      <x:c r="D10" s="41" t="n">
        <x:v>2</x:v>
      </x:c>
      <x:c r="E10" s="41" t="str">
        <x:v>One-Pot Chicken Dal Khichdi</x:v>
      </x:c>
      <x:c r="F10" s="41" t="str">
        <x:v>Indian</x:v>
      </x:c>
      <x:c r="G10" s="41" t="str">
        <x:v>Instant Pot</x:v>
      </x:c>
      <x:c r="H10" s="41" t="str">
        <x:v>8 min</x:v>
      </x:c>
      <x:c r="I10" s="41" t="str">
        <x:v>12–15 min</x:v>
      </x:c>
      <x:c r="J10" s="41" t="str">
        <x:v>Yes</x:v>
      </x:c>
      <x:c r="K10" s="41" t="str">
        <x:v>Combine rice, toor dal, chicken, onion and vegetables with turmeric/cumin/ginger and water. Pressure-cook until tender; finish with sesame. Eat cod liver separately.</x:v>
      </x:c>
      <x:c r="L10" s="41" t="str">
        <x:v>Lowest cleanup</x:v>
      </x:c>
      <x:c r="M10" s="10" t="str">
        <x:v>https://www.youtube.com/watch?v=_sC2kO_iOl0</x:v>
      </x:c>
      <x:c r="N10" s="10" t="str">
        <x:v>Direct reference</x:v>
      </x:c>
      <x:c r="O10" s="10" t="str">
        <x:v>Shamima Ka Kitchen — Moong Dal Chicken</x:v>
      </x:c>
    </x:row>
    <x:row r="11" ht="88" customHeight="1">
      <x:c r="A11" s="41" t="str">
        <x:v>Day 1</x:v>
      </x:c>
      <x:c r="B11" s="41" t="str">
        <x:v>Lunch</x:v>
      </x:c>
      <x:c r="C11" s="41" t="str">
        <x:v>Chicken breast 100 g
ICAN cod liver 20 g
Rice (dry) 45 g
Toor dal (dry) 35 g
Asparagus [CF] 100 g
Cauliflower [CF] 150 g
Onion [CF] 40 g
Sesame seeds 12 g
Cooking oil 3 g
No milk/curd/yogurt</x:v>
      </x:c>
      <x:c r="D11" s="41" t="n">
        <x:v>3</x:v>
      </x:c>
      <x:c r="E11" s="41" t="str">
        <x:v>Pepper Chicken + Vegetable Toor Dal</x:v>
      </x:c>
      <x:c r="F11" s="41" t="str">
        <x:v>South Indian-inspired</x:v>
      </x:c>
      <x:c r="G11" s="41" t="str">
        <x:v>Instant Pot + pan</x:v>
      </x:c>
      <x:c r="H11" s="41" t="str">
        <x:v>10 min</x:v>
      </x:c>
      <x:c r="I11" s="41" t="str">
        <x:v>15 min</x:v>
      </x:c>
      <x:c r="J11" s="41" t="str">
        <x:v>Yes</x:v>
      </x:c>
      <x:c r="K11" s="41" t="str">
        <x:v>Batch-cook toor dal with vegetables. Cook chicken with pepper, cumin, ginger and the listed oil. Serve together with rice and sesame; cod liver separately.</x:v>
      </x:c>
      <x:c r="L11" s="41" t="str">
        <x:v>Good texture variety</x:v>
      </x:c>
      <x:c r="M11" s="10" t="str">
        <x:v>https://www.youtube.com/results?search_query=chicken+toor+dal+recipe</x:v>
      </x:c>
      <x:c r="N11" s="10" t="str">
        <x:v>YouTube search fallback</x:v>
      </x:c>
      <x:c r="O11" s="10" t="str">
        <x:v>No close exact direct video verified.</x:v>
      </x:c>
    </x:row>
    <x:row r="12" ht="88" customHeight="1">
      <x:c r="A12" s="41" t="str">
        <x:v>Day 1</x:v>
      </x:c>
      <x:c r="B12" s="41" t="str">
        <x:v>Dinner</x:v>
      </x:c>
      <x:c r="C12" s="41" t="str">
        <x:v>Chicken breast 100 g
Rice (dry) 40 g
Cabbage [CF] 150 g
Carrots [CF] 100 g
Mushrooms [CF] 100 g
Frozen sweet peas [CF] 60 g
Sesame seeds 10 g
Cooking oil 3 g
No milk/curd/yogurt</x:v>
      </x:c>
      <x:c r="D12" s="41" t="n">
        <x:v>1</x:v>
      </x:c>
      <x:c r="E12" s="41" t="str">
        <x:v>Chicken Vegetable Pulao</x:v>
      </x:c>
      <x:c r="F12" s="41" t="str">
        <x:v>Indian</x:v>
      </x:c>
      <x:c r="G12" s="41" t="str">
        <x:v>Instant Pot</x:v>
      </x:c>
      <x:c r="H12" s="41" t="str">
        <x:v>8 min</x:v>
      </x:c>
      <x:c r="I12" s="41" t="str">
        <x:v>12–15 min</x:v>
      </x:c>
      <x:c r="J12" s="41" t="str">
        <x:v>Yes</x:v>
      </x:c>
      <x:c r="K12" s="41" t="str">
        <x:v>Use listed oil to bloom cumin/ginger; add chicken, rice, cabbage, carrot, mushrooms and peas. Pressure-cook until rice/chicken are done; finish with sesame.</x:v>
      </x:c>
      <x:c r="L12" s="41" t="str">
        <x:v>Recommended — One-pot favorite</x:v>
      </x:c>
      <x:c r="M12" s="10" t="str">
        <x:v>https://www.youtube.com/watch?v=eNLOiM6orQU</x:v>
      </x:c>
      <x:c r="N12" s="10" t="str">
        <x:v>Direct reference</x:v>
      </x:c>
      <x:c r="O12" s="10" t="str">
        <x:v>Masala TV — Chicken Vegetable Pulao</x:v>
      </x:c>
    </x:row>
    <x:row r="13" ht="88" customHeight="1">
      <x:c r="A13" s="41" t="str">
        <x:v>Day 1</x:v>
      </x:c>
      <x:c r="B13" s="41" t="str">
        <x:v>Dinner</x:v>
      </x:c>
      <x:c r="C13" s="41" t="str">
        <x:v>Chicken breast 100 g
Rice (dry) 40 g
Cabbage [CF] 150 g
Carrots [CF] 100 g
Mushrooms [CF] 100 g
Frozen sweet peas [CF] 60 g
Sesame seeds 10 g
Cooking oil 3 g
No milk/curd/yogurt</x:v>
      </x:c>
      <x:c r="D13" s="41" t="n">
        <x:v>2</x:v>
      </x:c>
      <x:c r="E13" s="41" t="str">
        <x:v>Sesame Chicken Vegetable Rice Bowl</x:v>
      </x:c>
      <x:c r="F13" s="41" t="str">
        <x:v>Indian-inspired</x:v>
      </x:c>
      <x:c r="G13" s="41" t="str">
        <x:v>Pan + rice cooker/Instant Pot</x:v>
      </x:c>
      <x:c r="H13" s="41" t="str">
        <x:v>8 min</x:v>
      </x:c>
      <x:c r="I13" s="41" t="str">
        <x:v>12 min</x:v>
      </x:c>
      <x:c r="J13" s="41" t="str">
        <x:v>Yes</x:v>
      </x:c>
      <x:c r="K13" s="41" t="str">
        <x:v>Cook chicken and vegetables covered with turmeric, cumin, ginger and pepper. Serve over pre-cooked rice; sprinkle sesame.</x:v>
      </x:c>
      <x:c r="L13" s="41" t="str">
        <x:v>Best with batch rice</x:v>
      </x:c>
      <x:c r="M13" s="10" t="str">
        <x:v>https://www.youtube.com/results?search_query=Sesame+Chicken+Vegetable+Rice+Bowl+Indian+recipe</x:v>
      </x:c>
      <x:c r="N13" s="10" t="str">
        <x:v>YouTube search fallback</x:v>
      </x:c>
      <x:c r="O13" s="10" t="str">
        <x:v>Closest search only; exact recipe not verified.</x:v>
      </x:c>
    </x:row>
    <x:row r="14" ht="88" customHeight="1">
      <x:c r="A14" s="41" t="str">
        <x:v>Day 1</x:v>
      </x:c>
      <x:c r="B14" s="41" t="str">
        <x:v>Dinner</x:v>
      </x:c>
      <x:c r="C14" s="41" t="str">
        <x:v>Chicken breast 100 g
Rice (dry) 40 g
Cabbage [CF] 150 g
Carrots [CF] 100 g
Mushrooms [CF] 100 g
Frozen sweet peas [CF] 60 g
Sesame seeds 10 g
Cooking oil 3 g
No milk/curd/yogurt</x:v>
      </x:c>
      <x:c r="D14" s="41" t="n">
        <x:v>3</x:v>
      </x:c>
      <x:c r="E14" s="41" t="str">
        <x:v>Chicken Vegetable Soup Rice</x:v>
      </x:c>
      <x:c r="F14" s="41" t="str">
        <x:v>Indian-inspired</x:v>
      </x:c>
      <x:c r="G14" s="41" t="str">
        <x:v>Instant Pot</x:v>
      </x:c>
      <x:c r="H14" s="41" t="str">
        <x:v>6 min</x:v>
      </x:c>
      <x:c r="I14" s="41" t="str">
        <x:v>15 min</x:v>
      </x:c>
      <x:c r="J14" s="41" t="str">
        <x:v>Yes</x:v>
      </x:c>
      <x:c r="K14" s="41" t="str">
        <x:v>Pressure-cook chicken, cabbage, carrot, mushrooms and peas with ginger, pepper and cumin into a thick soup. Serve with rice and sesame.</x:v>
      </x:c>
      <x:c r="L14" s="41" t="str">
        <x:v>Lightest texture</x:v>
      </x:c>
      <x:c r="M14" s="10" t="str">
        <x:v>https://www.youtube.com/results?search_query=Chicken+Vegetable+Soup+Rice+Indian+recipe</x:v>
      </x:c>
      <x:c r="N14" s="10" t="str">
        <x:v>YouTube search fallback</x:v>
      </x:c>
      <x:c r="O14" s="10" t="str">
        <x:v>Closest search only; exact recipe not verified.</x:v>
      </x:c>
    </x:row>
    <x:row r="15" ht="88" customHeight="1">
      <x:c r="A15" s="41" t="str">
        <x:v>Day 2</x:v>
      </x:c>
      <x:c r="B15" s="41" t="str">
        <x:v>Breakfast</x:v>
      </x:c>
      <x:c r="C15" s="41" t="str">
        <x:v>Ragi flour 45 g
Low-fat milk 300 ml
Whole eggs 1
Egg whites 50 g
SEPARATE SEED SIDE:
Sesame seeds 5 g
Hemp hearts 5 g
Chia seeds 5 g
No added salt; no onion/garlic in this milk-containing meal
Do not mix seeds into the milk/ragi bowl</x:v>
      </x:c>
      <x:c r="D15" s="41" t="n">
        <x:v>1</x:v>
      </x:c>
      <x:c r="E15" s="41" t="str">
        <x:v>Ragi Milk Porridge + Eggs + Separate Seed Side</x:v>
      </x:c>
      <x:c r="F15" s="41" t="str">
        <x:v>Recommended cooked</x:v>
      </x:c>
      <x:c r="G15" s="41" t="str">
        <x:v>Pan + cup</x:v>
      </x:c>
      <x:c r="H15" s="41" t="str">
        <x:v>6–8 min</x:v>
      </x:c>
      <x:c r="I15" s="41" t="str">
        <x:v>6–10 min</x:v>
      </x:c>
      <x:c r="J15" s="41" t="str">
        <x:v>Yes</x:v>
      </x:c>
      <x:c r="K15" s="41" t="str">
        <x:v>Cook the listed oats/ragi with milk. Cook or use batch-prepared eggs/egg whites separately. Eat the measured seed mix from a separate small bowl/container; do not stir it into the milk/grain meal.</x:v>
      </x:c>
      <x:c r="L15" s="41" t="str">
        <x:v>Recommended default; seed rotation adds variety without changing the rest of the day.</x:v>
      </x:c>
      <x:c r="M15" s="10" t="str">
        <x:v>https://www.youtube.com/watch?v=zBDcYxhYh_4</x:v>
      </x:c>
      <x:c r="N15" s="10" t="str">
        <x:v>Direct reference</x:v>
      </x:c>
      <x:c r="O15" s="10" t="str">
        <x:v>Hebbars Kitchen — Ragi Breakfast Recipes</x:v>
      </x:c>
    </x:row>
    <x:row r="16" ht="88" customHeight="1">
      <x:c r="A16" s="41" t="str">
        <x:v>Day 2</x:v>
      </x:c>
      <x:c r="B16" s="41" t="str">
        <x:v>Breakfast</x:v>
      </x:c>
      <x:c r="C16" s="41" t="str">
        <x:v>Ragi flour 25 g
Moong dal (dry) 25 g
Low-fat milk 275 ml
Whole eggs 1
Egg whites 50 g
Cooking oil 2 g
SEPARATE SEED SIDE:
Sesame seeds 5 g
Hemp hearts 5 g
Chia seeds 5 g
No added salt; no onion/garlic because milk is part of this breakfast</x:v>
      </x:c>
      <x:c r="D16" s="41" t="n">
        <x:v>2</x:v>
      </x:c>
      <x:c r="E16" s="41" t="str">
        <x:v>Unsalted Ragi-Moong Chilla + Milk + Egg</x:v>
      </x:c>
      <x:c r="F16" s="41" t="str">
        <x:v>Indian cooked variety</x:v>
      </x:c>
      <x:c r="G16" s="41" t="str">
        <x:v>Nonstick pan + cup</x:v>
      </x:c>
      <x:c r="H16" s="41" t="str">
        <x:v>5–7 min</x:v>
      </x:c>
      <x:c r="I16" s="41" t="str">
        <x:v>6–10 min</x:v>
      </x:c>
      <x:c r="J16" s="41" t="str">
        <x:v>Partial</x:v>
      </x:c>
      <x:c r="K16" s="41" t="str">
        <x:v>Use soaked/batch-ground moong with ragi and permitted salt-free spices to make thin chillas with exactly 2 g oil. Serve milk, egg/egg whites and the seed side separately. No added salt/onion/garlic.</x:v>
      </x:c>
      <x:c r="L16" s="41" t="str">
        <x:v>Higher variety; batter can be prepared in advance.</x:v>
      </x:c>
      <x:c r="M16" s="10" t="str">
        <x:v>https://www.youtube.com/watch?v=6JXC5N9hF6k</x:v>
      </x:c>
      <x:c r="N16" s="10" t="str">
        <x:v>Direct reference</x:v>
      </x:c>
      <x:c r="O16" s="10" t="str">
        <x:v>Hebbars Kitchen — Moong Dal Chilla</x:v>
      </x:c>
    </x:row>
    <x:row r="17" ht="88" customHeight="1">
      <x:c r="A17" s="41" t="str">
        <x:v>Day 2</x:v>
      </x:c>
      <x:c r="B17" s="41" t="str">
        <x:v>Breakfast</x:v>
      </x:c>
      <x:c r="C17" s="41" t="str">
        <x:v>Thick poha / flattened rice (dry) 25 g
Moong dal (dry) 20 g
Frozen sweet peas [CF] 50 g
Low-fat milk 275 ml
Whole eggs 1
Egg whites 50 g
Cooking oil 2 g
SEPARATE SEED SIDE:
Sesame seeds 5 g
Hemp hearts 5 g
Chia seeds 5 g
No added salt; no onion/garlic because milk is part of this breakfast</x:v>
      </x:c>
      <x:c r="D17" s="41" t="n">
        <x:v>3</x:v>
      </x:c>
      <x:c r="E17" s="41" t="str">
        <x:v>Unsalted Poha-Moong Egg Bowl + Milk</x:v>
      </x:c>
      <x:c r="F17" s="41" t="str">
        <x:v>Indian cooked variety</x:v>
      </x:c>
      <x:c r="G17" s="41" t="str">
        <x:v>Pan + cup</x:v>
      </x:c>
      <x:c r="H17" s="41" t="str">
        <x:v>6–8 min</x:v>
      </x:c>
      <x:c r="I17" s="41" t="str">
        <x:v>6–10 min</x:v>
      </x:c>
      <x:c r="J17" s="41" t="str">
        <x:v>Partial</x:v>
      </x:c>
      <x:c r="K17" s="41" t="str">
        <x:v>Soften poha, fold in cooked moong and peas, and heat with permitted salt-free spices using exactly 2 g oil. Serve milk and eggs separately. Eat the seed mix separately. No added salt/onion/garlic.</x:v>
      </x:c>
      <x:c r="L17" s="41" t="str">
        <x:v>Different grain/texture from oats and ragi.</x:v>
      </x:c>
      <x:c r="M17" s="10" t="str">
        <x:v>https://www.youtube.com/watch?v=qaEo1czH9sw</x:v>
      </x:c>
      <x:c r="N17" s="10" t="str">
        <x:v>Direct reference</x:v>
      </x:c>
      <x:c r="O17" s="10" t="str">
        <x:v>Hebbars Kitchen — Poha Recipe</x:v>
      </x:c>
    </x:row>
    <x:row r="18" ht="88" customHeight="1">
      <x:c r="A18" s="41" t="str">
        <x:v>Day 2</x:v>
      </x:c>
      <x:c r="B18" s="41" t="str">
        <x:v>Breakfast</x:v>
      </x:c>
      <x:c r="C18" s="41" t="str">
        <x:v>Ready-to-eat / steam-processed ragi flakes 45 g
Low-fat milk 300 ml
Whole eggs 1
Batch-cooked egg whites 50 g
SEPARATE SEED SIDE:
Sesame seeds 5 g
Hemp hearts 5 g
Chia seeds 5 g
No added salt; no onion/garlic
Use RTE/steam-processed ragi flakes only — not raw ragi flour</x:v>
      </x:c>
      <x:c r="D18" s="41" t="n">
        <x:v>4</x:v>
      </x:c>
      <x:c r="E18" s="41" t="str">
        <x:v>Overnight No-Cook Breakfast Jar + Pre-Cooked Eggs</x:v>
      </x:c>
      <x:c r="F18" s="41" t="str">
        <x:v>NO-COOK MORNING</x:v>
      </x:c>
      <x:c r="G18" s="41" t="str">
        <x:v>Jar / refrigerator</x:v>
      </x:c>
      <x:c r="H18" s="41" t="str">
        <x:v>0 min morning</x:v>
      </x:c>
      <x:c r="I18" s="41" t="str">
        <x:v>0</x:v>
      </x:c>
      <x:c r="J18" s="41" t="str">
        <x:v>Yes</x:v>
      </x:c>
      <x:c r="K18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18" s="41" t="str">
        <x:v>Zero-cook morning option; seeds stay separate.</x:v>
      </x:c>
      <x:c r="M18" s="10" t="str">
        <x:v>https://www.youtube.com/watch?v=NeBf5ewmI0A</x:v>
      </x:c>
      <x:c r="N18" s="10" t="str">
        <x:v>Direct reference</x:v>
      </x:c>
      <x:c r="O18" s="10" t="str">
        <x:v>Clean &amp; Delicious — Overnight Oats 6 Ways</x:v>
      </x:c>
    </x:row>
    <x:row r="19" ht="88" customHeight="1">
      <x:c r="A19" s="41" t="str">
        <x:v>Day 2</x:v>
      </x:c>
      <x:c r="B19" s="41" t="str">
        <x:v>Mid-morning fruit</x:v>
      </x:c>
      <x:c r="C19" s="41" t="str">
        <x:v>Kiwi [CF] 150 g
Eat alone; ≥2 h after breakfast and ≥2 h before lunch</x:v>
      </x:c>
      <x:c r="D19" s="41" t="n">
        <x:v>1</x:v>
      </x:c>
      <x:c r="E19" s="41" t="str">
        <x:v>Plain Kiwi</x:v>
      </x:c>
      <x:c r="F19" s="41" t="str">
        <x:v>Fresh</x:v>
      </x:c>
      <x:c r="G19" s="41" t="str">
        <x:v>None</x:v>
      </x:c>
      <x:c r="H19" s="41" t="str">
        <x:v>2 min</x:v>
      </x:c>
      <x:c r="I19" s="41" t="str">
        <x:v>0</x:v>
      </x:c>
      <x:c r="J19" s="41" t="str">
        <x:v>No</x:v>
      </x:c>
      <x:c r="K19" s="41" t="str">
        <x:v>Prepare the measured kiwi and eat it by itself.</x:v>
      </x:c>
      <x:c r="L19" s="41" t="str">
        <x:v>Fruit remains literally alone; no dairy or seasonings.</x:v>
      </x:c>
      <x:c r="M19" s="10" t="str"/>
      <x:c r="N19" s="10" t="str">
        <x:v>Not needed</x:v>
      </x:c>
      <x:c r="O19" s="10" t="str">
        <x:v>Fresh fruit is eaten alone; no recipe video needed.</x:v>
      </x:c>
    </x:row>
    <x:row r="20" ht="88" customHeight="1">
      <x:c r="A20" s="41" t="str">
        <x:v>Day 2</x:v>
      </x:c>
      <x:c r="B20" s="41" t="str">
        <x:v>Mid-morning fruit</x:v>
      </x:c>
      <x:c r="C20" s="41" t="str">
        <x:v>Kiwi [CF] 150 g
Eat alone; ≥2 h after breakfast and ≥2 h before lunch</x:v>
      </x:c>
      <x:c r="D20" s="41" t="n">
        <x:v>2</x:v>
      </x:c>
      <x:c r="E20" s="41" t="str">
        <x:v>Chilled Kiwi</x:v>
      </x:c>
      <x:c r="F20" s="41" t="str">
        <x:v>Fresh</x:v>
      </x:c>
      <x:c r="G20" s="41" t="str">
        <x:v>None</x:v>
      </x:c>
      <x:c r="H20" s="41" t="str">
        <x:v>2 min</x:v>
      </x:c>
      <x:c r="I20" s="41" t="str">
        <x:v>0</x:v>
      </x:c>
      <x:c r="J20" s="41" t="str">
        <x:v>No</x:v>
      </x:c>
      <x:c r="K20" s="41" t="str">
        <x:v>Chill the measured kiwi and eat it by itself; do not add seasonings or other foods.</x:v>
      </x:c>
      <x:c r="L20" s="41" t="str">
        <x:v>Fruit remains literally alone; no dairy or seasonings.</x:v>
      </x:c>
      <x:c r="M20" s="10" t="str"/>
      <x:c r="N20" s="10" t="str">
        <x:v>Not needed</x:v>
      </x:c>
      <x:c r="O20" s="10" t="str">
        <x:v>Fresh fruit is eaten alone; no recipe video needed.</x:v>
      </x:c>
    </x:row>
    <x:row r="21" ht="88" customHeight="1">
      <x:c r="A21" s="41" t="str">
        <x:v>Day 2</x:v>
      </x:c>
      <x:c r="B21" s="41" t="str">
        <x:v>Mid-morning fruit</x:v>
      </x:c>
      <x:c r="C21" s="41" t="str">
        <x:v>Kiwi [CF] 150 g
Eat alone; ≥2 h after breakfast and ≥2 h before lunch</x:v>
      </x:c>
      <x:c r="D21" s="41" t="n">
        <x:v>3</x:v>
      </x:c>
      <x:c r="E21" s="41" t="str">
        <x:v>Kiwi - Alternate Cut</x:v>
      </x:c>
      <x:c r="F21" s="41" t="str">
        <x:v>Fresh</x:v>
      </x:c>
      <x:c r="G21" s="41" t="str">
        <x:v>None</x:v>
      </x:c>
      <x:c r="H21" s="41" t="str">
        <x:v>2 min</x:v>
      </x:c>
      <x:c r="I21" s="41" t="str">
        <x:v>0</x:v>
      </x:c>
      <x:c r="J21" s="41" t="str">
        <x:v>No</x:v>
      </x:c>
      <x:c r="K21" s="41" t="str">
        <x:v>Slice, dice, or lightly mash the measured kiwi for a different texture; eat it by itself.</x:v>
      </x:c>
      <x:c r="L21" s="41" t="str">
        <x:v>Fruit remains literally alone; no dairy or seasonings.</x:v>
      </x:c>
      <x:c r="M21" s="10" t="str"/>
      <x:c r="N21" s="10" t="str">
        <x:v>Not needed</x:v>
      </x:c>
      <x:c r="O21" s="10" t="str">
        <x:v>Fresh fruit is eaten alone; no recipe video needed.</x:v>
      </x:c>
    </x:row>
    <x:row r="22" ht="88" customHeight="1">
      <x:c r="A22" s="41" t="str">
        <x:v>Day 2</x:v>
      </x:c>
      <x:c r="B22" s="41" t="str">
        <x:v>Lunch</x:v>
      </x:c>
      <x:c r="C22" s="41" t="str">
        <x:v>Chicken breast 100 g
Rajma (dry) 45 g
Rice (dry) 40 g
Cabbage [CF] 150 g
Cauliflower [CF] 150 g
Onion [CF] 50 g
Sesame seeds 10 g
Cooking oil 3 g
No milk/curd/yogurt</x:v>
      </x:c>
      <x:c r="D22" s="41" t="n">
        <x:v>1</x:v>
      </x:c>
      <x:c r="E22" s="41" t="str">
        <x:v>Chicken Rajma Masala Bowl</x:v>
      </x:c>
      <x:c r="F22" s="41" t="str">
        <x:v>North Indian-inspired</x:v>
      </x:c>
      <x:c r="G22" s="41" t="str">
        <x:v>Instant Pot + pan</x:v>
      </x:c>
      <x:c r="H22" s="41" t="str">
        <x:v>10 min</x:v>
      </x:c>
      <x:c r="I22" s="41" t="str">
        <x:v>15 min after beans cooked</x:v>
      </x:c>
      <x:c r="J22" s="41" t="str">
        <x:v>Yes</x:v>
      </x:c>
      <x:c r="K22" s="41" t="str">
        <x:v>Use pre-soaked, fully cooked rajma. Cook onion/spices/chicken in listed oil; add cabbage, cauliflower and rajma. Serve with rice and sesame.</x:v>
      </x:c>
      <x:c r="L22" s="41" t="str">
        <x:v>Recommended — Best if rajma is batch-cooked</x:v>
      </x:c>
      <x:c r="M22" s="10" t="str">
        <x:v>https://www.youtube.com/results?search_query=chicken+rajma+curry+recipe</x:v>
      </x:c>
      <x:c r="N22" s="10" t="str">
        <x:v>YouTube search fallback</x:v>
      </x:c>
      <x:c r="O22" s="10" t="str">
        <x:v>No close exact direct video verified.</x:v>
      </x:c>
    </x:row>
    <x:row r="23" ht="88" customHeight="1">
      <x:c r="A23" s="41" t="str">
        <x:v>Day 2</x:v>
      </x:c>
      <x:c r="B23" s="41" t="str">
        <x:v>Lunch</x:v>
      </x:c>
      <x:c r="C23" s="41" t="str">
        <x:v>Chicken breast 100 g
Rajma (dry) 45 g
Rice (dry) 40 g
Cabbage [CF] 150 g
Cauliflower [CF] 150 g
Onion [CF] 50 g
Sesame seeds 10 g
Cooking oil 3 g
No milk/curd/yogurt</x:v>
      </x:c>
      <x:c r="D23" s="41" t="n">
        <x:v>2</x:v>
      </x:c>
      <x:c r="E23" s="41" t="str">
        <x:v>Chicken-Rajma Pulao</x:v>
      </x:c>
      <x:c r="F23" s="41" t="str">
        <x:v>Indian</x:v>
      </x:c>
      <x:c r="G23" s="41" t="str">
        <x:v>Instant Pot</x:v>
      </x:c>
      <x:c r="H23" s="41" t="str">
        <x:v>8 min</x:v>
      </x:c>
      <x:c r="I23" s="41" t="str">
        <x:v>12 min</x:v>
      </x:c>
      <x:c r="J23" s="41" t="str">
        <x:v>Yes</x:v>
      </x:c>
      <x:c r="K23" s="41" t="str">
        <x:v>Combine pre-cooked rajma, chicken, vegetables, rice, spices and water; pressure-cook until rice/chicken are done. Finish with sesame.</x:v>
      </x:c>
      <x:c r="L23" s="41" t="str">
        <x:v>One-pot low effort</x:v>
      </x:c>
      <x:c r="M23" s="10" t="str">
        <x:v>https://www.youtube.com/watch?v=eNLOiM6orQU</x:v>
      </x:c>
      <x:c r="N23" s="10" t="str">
        <x:v>Direct reference</x:v>
      </x:c>
      <x:c r="O23" s="10" t="str">
        <x:v>Masala TV — Chicken Vegetable Pulao</x:v>
      </x:c>
    </x:row>
    <x:row r="24" ht="88" customHeight="1">
      <x:c r="A24" s="41" t="str">
        <x:v>Day 2</x:v>
      </x:c>
      <x:c r="B24" s="41" t="str">
        <x:v>Lunch</x:v>
      </x:c>
      <x:c r="C24" s="41" t="str">
        <x:v>Chicken breast 100 g
Rajma (dry) 45 g
Rice (dry) 40 g
Cabbage [CF] 150 g
Cauliflower [CF] 150 g
Onion [CF] 50 g
Sesame seeds 10 g
Cooking oil 3 g
No milk/curd/yogurt</x:v>
      </x:c>
      <x:c r="D24" s="41" t="n">
        <x:v>3</x:v>
      </x:c>
      <x:c r="E24" s="41" t="str">
        <x:v>Rajma Vegetable Curry + Pepper Chicken</x:v>
      </x:c>
      <x:c r="F24" s="41" t="str">
        <x:v>Indian</x:v>
      </x:c>
      <x:c r="G24" s="41" t="str">
        <x:v>Instant Pot + pan</x:v>
      </x:c>
      <x:c r="H24" s="41" t="str">
        <x:v>8 min</x:v>
      </x:c>
      <x:c r="I24" s="41" t="str">
        <x:v>12 min</x:v>
      </x:c>
      <x:c r="J24" s="41" t="str">
        <x:v>Yes</x:v>
      </x:c>
      <x:c r="K24" s="41" t="str">
        <x:v>Batch-cook rajma curry with cabbage/cauliflower/onion. Quickly cook chicken with pepper/cumin using listed oil. Serve with rice and sesame.</x:v>
      </x:c>
      <x:c r="L24" s="41" t="str">
        <x:v>Best texture separation</x:v>
      </x:c>
      <x:c r="M24" s="10" t="str">
        <x:v>https://www.youtube.com/results?search_query=chicken+rajma+curry+recipe</x:v>
      </x:c>
      <x:c r="N24" s="10" t="str">
        <x:v>YouTube search fallback</x:v>
      </x:c>
      <x:c r="O24" s="10" t="str">
        <x:v>No close exact direct video verified.</x:v>
      </x:c>
    </x:row>
    <x:row r="25" ht="88" customHeight="1">
      <x:c r="A25" s="41" t="str">
        <x:v>Day 2</x:v>
      </x:c>
      <x:c r="B25" s="41" t="str">
        <x:v>Dinner</x:v>
      </x:c>
      <x:c r="C25" s="41" t="str">
        <x:v>Whole eggs 2
Egg whites 150 g
Moong dal (dry) 40 g
Asparagus [CF] 120 g
Mushrooms [CF] 150 g
Carrots [CF] 100 g
Rice (dry) 35 g
Sesame seeds 10 g
Cooking oil 3 g
No milk/curd/yogurt</x:v>
      </x:c>
      <x:c r="D25" s="41" t="n">
        <x:v>1</x:v>
      </x:c>
      <x:c r="E25" s="41" t="str">
        <x:v>Egg-Moong Vegetable Khichdi</x:v>
      </x:c>
      <x:c r="F25" s="41" t="str">
        <x:v>Indian</x:v>
      </x:c>
      <x:c r="G25" s="41" t="str">
        <x:v>Instant Pot + pan</x:v>
      </x:c>
      <x:c r="H25" s="41" t="str">
        <x:v>8 min</x:v>
      </x:c>
      <x:c r="I25" s="41" t="str">
        <x:v>12–15 min</x:v>
      </x:c>
      <x:c r="J25" s="41" t="str">
        <x:v>Yes</x:v>
      </x:c>
      <x:c r="K25" s="41" t="str">
        <x:v>Pressure-cook moong, rice and vegetables. Fold in scrambled egg/egg whites after cooking or top with chopped boiled eggs. Finish with sesame.</x:v>
      </x:c>
      <x:c r="L25" s="41" t="str">
        <x:v>Recommended — One-bowl dinner</x:v>
      </x:c>
      <x:c r="M25" s="10" t="str">
        <x:v>https://www.youtube.com/results?search_query=egg+moong+dal+khichdi+recipe</x:v>
      </x:c>
      <x:c r="N25" s="10" t="str">
        <x:v>YouTube search fallback</x:v>
      </x:c>
      <x:c r="O25" s="10" t="str">
        <x:v>No close exact direct video verified.</x:v>
      </x:c>
    </x:row>
    <x:row r="26" ht="88" customHeight="1">
      <x:c r="A26" s="41" t="str">
        <x:v>Day 2</x:v>
      </x:c>
      <x:c r="B26" s="41" t="str">
        <x:v>Dinner</x:v>
      </x:c>
      <x:c r="C26" s="41" t="str">
        <x:v>Whole eggs 2
Egg whites 150 g
Moong dal (dry) 40 g
Asparagus [CF] 120 g
Mushrooms [CF] 150 g
Carrots [CF] 100 g
Rice (dry) 35 g
Sesame seeds 10 g
Cooking oil 3 g
No milk/curd/yogurt</x:v>
      </x:c>
      <x:c r="D26" s="41" t="n">
        <x:v>2</x:v>
      </x:c>
      <x:c r="E26" s="41" t="str">
        <x:v>Moong Vegetable Dal + Egg Bhurji</x:v>
      </x:c>
      <x:c r="F26" s="41" t="str">
        <x:v>Indian</x:v>
      </x:c>
      <x:c r="G26" s="41" t="str">
        <x:v>Instant Pot + pan</x:v>
      </x:c>
      <x:c r="H26" s="41" t="str">
        <x:v>8 min</x:v>
      </x:c>
      <x:c r="I26" s="41" t="str">
        <x:v>12 min</x:v>
      </x:c>
      <x:c r="J26" s="41" t="str">
        <x:v>Yes</x:v>
      </x:c>
      <x:c r="K26" s="41" t="str">
        <x:v>Batch-cook moong with asparagus, mushrooms and carrots. Make quick egg bhurji with permitted spices and listed oil. Serve with rice and sesame.</x:v>
      </x:c>
      <x:c r="L26" s="41" t="str">
        <x:v>Good batch/fresh balance</x:v>
      </x:c>
      <x:c r="M26" s="10" t="str">
        <x:v>https://www.youtube.com/results?search_query=egg+moong+dal+khichdi+recipe</x:v>
      </x:c>
      <x:c r="N26" s="10" t="str">
        <x:v>YouTube search fallback</x:v>
      </x:c>
      <x:c r="O26" s="10" t="str">
        <x:v>No close exact direct video verified.</x:v>
      </x:c>
    </x:row>
    <x:row r="27" ht="88" customHeight="1">
      <x:c r="A27" s="41" t="str">
        <x:v>Day 2</x:v>
      </x:c>
      <x:c r="B27" s="41" t="str">
        <x:v>Dinner</x:v>
      </x:c>
      <x:c r="C27" s="41" t="str">
        <x:v>Whole eggs 2
Egg whites 150 g
Moong dal (dry) 40 g
Asparagus [CF] 120 g
Mushrooms [CF] 150 g
Carrots [CF] 100 g
Rice (dry) 35 g
Sesame seeds 10 g
Cooking oil 3 g
No milk/curd/yogurt</x:v>
      </x:c>
      <x:c r="D27" s="41" t="n">
        <x:v>3</x:v>
      </x:c>
      <x:c r="E27" s="41" t="str">
        <x:v>Egg Moong Stew</x:v>
      </x:c>
      <x:c r="F27" s="41" t="str">
        <x:v>Indian-inspired</x:v>
      </x:c>
      <x:c r="G27" s="41" t="str">
        <x:v>Instant Pot</x:v>
      </x:c>
      <x:c r="H27" s="41" t="str">
        <x:v>6 min</x:v>
      </x:c>
      <x:c r="I27" s="41" t="str">
        <x:v>12 min</x:v>
      </x:c>
      <x:c r="J27" s="41" t="str">
        <x:v>Yes</x:v>
      </x:c>
      <x:c r="K27" s="41" t="str">
        <x:v>Make a thick moong-vegetable stew; add chopped pre-boiled eggs/egg whites at serving. Serve with rice and sesame.</x:v>
      </x:c>
      <x:c r="L27" s="41" t="str">
        <x:v>Lowest active effort</x:v>
      </x:c>
      <x:c r="M27" s="10" t="str">
        <x:v>https://www.youtube.com/results?search_query=egg+moong+dal+khichdi+recipe</x:v>
      </x:c>
      <x:c r="N27" s="10" t="str">
        <x:v>YouTube search fallback</x:v>
      </x:c>
      <x:c r="O27" s="10" t="str">
        <x:v>No close exact direct video verified.</x:v>
      </x:c>
    </x:row>
    <x:row r="28" ht="88" customHeight="1">
      <x:c r="A28" s="41" t="str">
        <x:v>Day 3</x:v>
      </x:c>
      <x:c r="B28" s="41" t="str">
        <x:v>Breakfast</x:v>
      </x:c>
      <x:c r="C28" s="41" t="str">
        <x:v>Oats 37 g
Low-fat milk 300 ml
Whole eggs 2
Egg whites 50 g
SEPARATE SEED SIDE:
Chia seeds 5 g
Pumpkin seeds 5 g
Sunflower seeds 5 g
No added salt; no onion/garlic in this milk-containing meal
Do not mix seeds into the milk/oats</x:v>
      </x:c>
      <x:c r="D28" s="41" t="n">
        <x:v>1</x:v>
      </x:c>
      <x:c r="E28" s="41" t="str">
        <x:v>Warm Oats + Eggs + Separate Seed Side</x:v>
      </x:c>
      <x:c r="F28" s="41" t="str">
        <x:v>Recommended cooked</x:v>
      </x:c>
      <x:c r="G28" s="41" t="str">
        <x:v>Pan + cup</x:v>
      </x:c>
      <x:c r="H28" s="41" t="str">
        <x:v>6–8 min</x:v>
      </x:c>
      <x:c r="I28" s="41" t="str">
        <x:v>6–10 min</x:v>
      </x:c>
      <x:c r="J28" s="41" t="str">
        <x:v>Yes</x:v>
      </x:c>
      <x:c r="K28" s="41" t="str">
        <x:v>Cook the listed oats/ragi with milk. Cook or use batch-prepared eggs/egg whites separately. Eat the measured seed mix from a separate small bowl/container; do not stir it into the milk/grain meal.</x:v>
      </x:c>
      <x:c r="L28" s="41" t="str">
        <x:v>Recommended default; seed rotation adds variety without changing the rest of the day.</x:v>
      </x:c>
      <x:c r="M28" s="10" t="str">
        <x:v>https://www.youtube.com/results?search_query=Indian+oats+egg+breakfast+recipe</x:v>
      </x:c>
      <x:c r="N28" s="10" t="str">
        <x:v>YouTube search fallback</x:v>
      </x:c>
      <x:c r="O28" s="10" t="str">
        <x:v>No close exact direct video verified; use only as a technique reference.</x:v>
      </x:c>
    </x:row>
    <x:row r="29" ht="88" customHeight="1">
      <x:c r="A29" s="41" t="str">
        <x:v>Day 3</x:v>
      </x:c>
      <x:c r="B29" s="41" t="str">
        <x:v>Breakfast</x:v>
      </x:c>
      <x:c r="C29" s="41" t="str">
        <x:v>Ragi flour 25 g
Moong dal (dry) 25 g
Low-fat milk 275 ml
Whole eggs 1
Egg whites 50 g
Cooking oil 2 g
SEPARATE SEED SIDE:
Chia seeds 5 g
Pumpkin seeds 5 g
Sunflower seeds 5 g
No added salt; no onion/garlic because milk is part of this breakfast</x:v>
      </x:c>
      <x:c r="D29" s="41" t="n">
        <x:v>2</x:v>
      </x:c>
      <x:c r="E29" s="41" t="str">
        <x:v>Unsalted Ragi-Moong Chilla + Milk + Egg</x:v>
      </x:c>
      <x:c r="F29" s="41" t="str">
        <x:v>Indian cooked variety</x:v>
      </x:c>
      <x:c r="G29" s="41" t="str">
        <x:v>Nonstick pan + cup</x:v>
      </x:c>
      <x:c r="H29" s="41" t="str">
        <x:v>5–7 min</x:v>
      </x:c>
      <x:c r="I29" s="41" t="str">
        <x:v>6–10 min</x:v>
      </x:c>
      <x:c r="J29" s="41" t="str">
        <x:v>Partial</x:v>
      </x:c>
      <x:c r="K29" s="41" t="str">
        <x:v>Use soaked/batch-ground moong with ragi and permitted salt-free spices to make thin chillas with exactly 2 g oil. Serve milk, egg/egg whites and the seed side separately. No added salt/onion/garlic.</x:v>
      </x:c>
      <x:c r="L29" s="41" t="str">
        <x:v>Higher variety; batter can be prepared in advance.</x:v>
      </x:c>
      <x:c r="M29" s="10" t="str">
        <x:v>https://www.youtube.com/watch?v=6JXC5N9hF6k</x:v>
      </x:c>
      <x:c r="N29" s="10" t="str">
        <x:v>Direct reference</x:v>
      </x:c>
      <x:c r="O29" s="10" t="str">
        <x:v>Hebbars Kitchen — Moong Dal Chilla</x:v>
      </x:c>
    </x:row>
    <x:row r="30" ht="88" customHeight="1">
      <x:c r="A30" s="41" t="str">
        <x:v>Day 3</x:v>
      </x:c>
      <x:c r="B30" s="41" t="str">
        <x:v>Breakfast</x:v>
      </x:c>
      <x:c r="C30" s="41" t="str">
        <x:v>Thick poha / flattened rice (dry) 25 g
Moong dal (dry) 20 g
Frozen sweet peas [CF] 50 g
Low-fat milk 275 ml
Whole eggs 1
Egg whites 50 g
Cooking oil 2 g
SEPARATE SEED SIDE:
Chia seeds 5 g
Pumpkin seeds 5 g
Sunflower seeds 5 g
No added salt; no onion/garlic because milk is part of this breakfast</x:v>
      </x:c>
      <x:c r="D30" s="41" t="n">
        <x:v>3</x:v>
      </x:c>
      <x:c r="E30" s="41" t="str">
        <x:v>Unsalted Poha-Moong Egg Bowl + Milk</x:v>
      </x:c>
      <x:c r="F30" s="41" t="str">
        <x:v>Indian cooked variety</x:v>
      </x:c>
      <x:c r="G30" s="41" t="str">
        <x:v>Pan + cup</x:v>
      </x:c>
      <x:c r="H30" s="41" t="str">
        <x:v>6–8 min</x:v>
      </x:c>
      <x:c r="I30" s="41" t="str">
        <x:v>6–10 min</x:v>
      </x:c>
      <x:c r="J30" s="41" t="str">
        <x:v>Partial</x:v>
      </x:c>
      <x:c r="K30" s="41" t="str">
        <x:v>Soften poha, fold in cooked moong and peas, and heat with permitted salt-free spices using exactly 2 g oil. Serve milk and eggs separately. Eat the seed mix separately. No added salt/onion/garlic.</x:v>
      </x:c>
      <x:c r="L30" s="41" t="str">
        <x:v>Different grain/texture from oats and ragi.</x:v>
      </x:c>
      <x:c r="M30" s="10" t="str">
        <x:v>https://www.youtube.com/watch?v=qaEo1czH9sw</x:v>
      </x:c>
      <x:c r="N30" s="10" t="str">
        <x:v>Direct reference</x:v>
      </x:c>
      <x:c r="O30" s="10" t="str">
        <x:v>Hebbars Kitchen — Poha Recipe</x:v>
      </x:c>
    </x:row>
    <x:row r="31" ht="88" customHeight="1">
      <x:c r="A31" s="41" t="str">
        <x:v>Day 3</x:v>
      </x:c>
      <x:c r="B31" s="41" t="str">
        <x:v>Breakfast</x:v>
      </x:c>
      <x:c r="C31" s="41" t="str">
        <x:v>Rolled oats 35 g
Ready-to-eat / steam-processed ragi flakes 15 g
Low-fat milk 300 ml
Whole eggs 2
Batch-cooked egg whites 50 g
SEPARATE SEED SIDE:
Chia seeds 5 g
Pumpkin seeds 5 g
Sunflower seeds 5 g
No added salt; no onion/garlic
Use RTE/steam-processed ragi flakes only — not raw ragi flour</x:v>
      </x:c>
      <x:c r="D31" s="41" t="n">
        <x:v>4</x:v>
      </x:c>
      <x:c r="E31" s="41" t="str">
        <x:v>Overnight No-Cook Breakfast Jar + Pre-Cooked Eggs</x:v>
      </x:c>
      <x:c r="F31" s="41" t="str">
        <x:v>NO-COOK MORNING</x:v>
      </x:c>
      <x:c r="G31" s="41" t="str">
        <x:v>Jar / refrigerator</x:v>
      </x:c>
      <x:c r="H31" s="41" t="str">
        <x:v>0 min morning</x:v>
      </x:c>
      <x:c r="I31" s="41" t="str">
        <x:v>0</x:v>
      </x:c>
      <x:c r="J31" s="41" t="str">
        <x:v>Yes</x:v>
      </x:c>
      <x:c r="K31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31" s="41" t="str">
        <x:v>Zero-cook morning option; seeds stay separate.</x:v>
      </x:c>
      <x:c r="M31" s="10" t="str">
        <x:v>https://www.youtube.com/watch?v=NeBf5ewmI0A</x:v>
      </x:c>
      <x:c r="N31" s="10" t="str">
        <x:v>Direct reference</x:v>
      </x:c>
      <x:c r="O31" s="10" t="str">
        <x:v>Clean &amp; Delicious — Overnight Oats 6 Ways</x:v>
      </x:c>
    </x:row>
    <x:row r="32" ht="88" customHeight="1">
      <x:c r="A32" s="41" t="str">
        <x:v>Day 3</x:v>
      </x:c>
      <x:c r="B32" s="41" t="str">
        <x:v>Mid-morning fruit</x:v>
      </x:c>
      <x:c r="C32" s="41" t="str">
        <x:v>Pineapple [CF] 150 g
Eat alone; ≥2 h after breakfast and ≥2 h before lunch</x:v>
      </x:c>
      <x:c r="D32" s="41" t="n">
        <x:v>1</x:v>
      </x:c>
      <x:c r="E32" s="41" t="str">
        <x:v>Plain Pineapple</x:v>
      </x:c>
      <x:c r="F32" s="41" t="str">
        <x:v>Fresh</x:v>
      </x:c>
      <x:c r="G32" s="41" t="str">
        <x:v>None</x:v>
      </x:c>
      <x:c r="H32" s="41" t="str">
        <x:v>2 min</x:v>
      </x:c>
      <x:c r="I32" s="41" t="str">
        <x:v>0</x:v>
      </x:c>
      <x:c r="J32" s="41" t="str">
        <x:v>No</x:v>
      </x:c>
      <x:c r="K32" s="41" t="str">
        <x:v>Prepare the measured pineapple and eat it by itself.</x:v>
      </x:c>
      <x:c r="L32" s="41" t="str">
        <x:v>Fruit remains literally alone; no dairy or seasonings.</x:v>
      </x:c>
      <x:c r="M32" s="10" t="str"/>
      <x:c r="N32" s="10" t="str">
        <x:v>Not needed</x:v>
      </x:c>
      <x:c r="O32" s="10" t="str">
        <x:v>Fresh fruit is eaten alone; no recipe video needed.</x:v>
      </x:c>
    </x:row>
    <x:row r="33" ht="88" customHeight="1">
      <x:c r="A33" s="41" t="str">
        <x:v>Day 3</x:v>
      </x:c>
      <x:c r="B33" s="41" t="str">
        <x:v>Mid-morning fruit</x:v>
      </x:c>
      <x:c r="C33" s="41" t="str">
        <x:v>Pineapple [CF] 150 g
Eat alone; ≥2 h after breakfast and ≥2 h before lunch</x:v>
      </x:c>
      <x:c r="D33" s="41" t="n">
        <x:v>2</x:v>
      </x:c>
      <x:c r="E33" s="41" t="str">
        <x:v>Chilled Pineapple</x:v>
      </x:c>
      <x:c r="F33" s="41" t="str">
        <x:v>Fresh</x:v>
      </x:c>
      <x:c r="G33" s="41" t="str">
        <x:v>None</x:v>
      </x:c>
      <x:c r="H33" s="41" t="str">
        <x:v>2 min</x:v>
      </x:c>
      <x:c r="I33" s="41" t="str">
        <x:v>0</x:v>
      </x:c>
      <x:c r="J33" s="41" t="str">
        <x:v>No</x:v>
      </x:c>
      <x:c r="K33" s="41" t="str">
        <x:v>Chill the measured pineapple and eat it by itself; do not add seasonings or other foods.</x:v>
      </x:c>
      <x:c r="L33" s="41" t="str">
        <x:v>Fruit remains literally alone; no dairy or seasonings.</x:v>
      </x:c>
      <x:c r="M33" s="10" t="str"/>
      <x:c r="N33" s="10" t="str">
        <x:v>Not needed</x:v>
      </x:c>
      <x:c r="O33" s="10" t="str">
        <x:v>Fresh fruit is eaten alone; no recipe video needed.</x:v>
      </x:c>
    </x:row>
    <x:row r="34" ht="88" customHeight="1">
      <x:c r="A34" s="41" t="str">
        <x:v>Day 3</x:v>
      </x:c>
      <x:c r="B34" s="41" t="str">
        <x:v>Mid-morning fruit</x:v>
      </x:c>
      <x:c r="C34" s="41" t="str">
        <x:v>Pineapple [CF] 150 g
Eat alone; ≥2 h after breakfast and ≥2 h before lunch</x:v>
      </x:c>
      <x:c r="D34" s="41" t="n">
        <x:v>3</x:v>
      </x:c>
      <x:c r="E34" s="41" t="str">
        <x:v>Pineapple - Alternate Cut</x:v>
      </x:c>
      <x:c r="F34" s="41" t="str">
        <x:v>Indian-inspired</x:v>
      </x:c>
      <x:c r="G34" s="41" t="str">
        <x:v>Pan</x:v>
      </x:c>
      <x:c r="H34" s="41" t="str">
        <x:v>2 min</x:v>
      </x:c>
      <x:c r="I34" s="41" t="str">
        <x:v>2–3 min</x:v>
      </x:c>
      <x:c r="J34" s="41" t="str">
        <x:v>No</x:v>
      </x:c>
      <x:c r="K34" s="41" t="str">
        <x:v>Slice, dice, or lightly mash the measured pineapple for a different texture; eat it by itself.</x:v>
      </x:c>
      <x:c r="L34" s="41" t="str">
        <x:v>Fruit remains literally alone; no dairy or seasonings.</x:v>
      </x:c>
      <x:c r="M34" s="10" t="str"/>
      <x:c r="N34" s="10" t="str">
        <x:v>Not needed</x:v>
      </x:c>
      <x:c r="O34" s="10" t="str">
        <x:v>Fresh fruit is eaten alone; no recipe video needed.</x:v>
      </x:c>
    </x:row>
    <x:row r="35" ht="88" customHeight="1">
      <x:c r="A35" s="41" t="str">
        <x:v>Day 3</x:v>
      </x:c>
      <x:c r="B35" s="41" t="str">
        <x:v>Lunch</x:v>
      </x:c>
      <x:c r="C35" s="41" t="str">
        <x:v>Chicken breast 100 g
Moong dal (dry) 35 g
Rice (dry) 35 g
Asparagus [CF] 100 g
Cabbage [CF] 150 g
Cauliflower [CF] 100 g
Onion [CF] 40 g
Sesame seeds 10 g
Cooking oil 2 g
No milk/curd/yogurt</x:v>
      </x:c>
      <x:c r="D35" s="41" t="n">
        <x:v>1</x:v>
      </x:c>
      <x:c r="E35" s="41" t="str">
        <x:v>Chicken-Moong Khichdi</x:v>
      </x:c>
      <x:c r="F35" s="41" t="str">
        <x:v>Indian</x:v>
      </x:c>
      <x:c r="G35" s="41" t="str">
        <x:v>Instant Pot</x:v>
      </x:c>
      <x:c r="H35" s="41" t="str">
        <x:v>8 min</x:v>
      </x:c>
      <x:c r="I35" s="41" t="str">
        <x:v>12–15 min</x:v>
      </x:c>
      <x:c r="J35" s="41" t="str">
        <x:v>Yes</x:v>
      </x:c>
      <x:c r="K35" s="41" t="str">
        <x:v>Combine chicken, moong, rice, onion and vegetables with turmeric, cumin, ginger and water; pressure-cook. Finish with sesame.</x:v>
      </x:c>
      <x:c r="L35" s="41" t="str">
        <x:v>Recommended — Lowest cleanup</x:v>
      </x:c>
      <x:c r="M35" s="10" t="str">
        <x:v>https://www.youtube.com/watch?v=_sC2kO_iOl0</x:v>
      </x:c>
      <x:c r="N35" s="10" t="str">
        <x:v>Direct reference</x:v>
      </x:c>
      <x:c r="O35" s="10" t="str">
        <x:v>Shamima Ka Kitchen — Moong Dal Chicken</x:v>
      </x:c>
    </x:row>
    <x:row r="36" ht="88" customHeight="1">
      <x:c r="A36" s="41" t="str">
        <x:v>Day 3</x:v>
      </x:c>
      <x:c r="B36" s="41" t="str">
        <x:v>Lunch</x:v>
      </x:c>
      <x:c r="C36" s="41" t="str">
        <x:v>Chicken breast 100 g
Moong dal (dry) 35 g
Rice (dry) 35 g
Asparagus [CF] 100 g
Cabbage [CF] 150 g
Cauliflower [CF] 100 g
Onion [CF] 40 g
Sesame seeds 10 g
Cooking oil 2 g
No milk/curd/yogurt</x:v>
      </x:c>
      <x:c r="D36" s="41" t="n">
        <x:v>2</x:v>
      </x:c>
      <x:c r="E36" s="41" t="str">
        <x:v>Chicken-Moong Vegetable Bowl</x:v>
      </x:c>
      <x:c r="F36" s="41" t="str">
        <x:v>Indian-inspired</x:v>
      </x:c>
      <x:c r="G36" s="41" t="str">
        <x:v>Instant Pot + pan</x:v>
      </x:c>
      <x:c r="H36" s="41" t="str">
        <x:v>8 min</x:v>
      </x:c>
      <x:c r="I36" s="41" t="str">
        <x:v>10–12 min</x:v>
      </x:c>
      <x:c r="J36" s="41" t="str">
        <x:v>Yes</x:v>
      </x:c>
      <x:c r="K36" s="41" t="str">
        <x:v>Serve batch-cooked moong/rice with quick cumin-pepper chicken and steamed/sautéed vegetables; sprinkle sesame.</x:v>
      </x:c>
      <x:c r="L36" s="41" t="str">
        <x:v>Fast with batch bases</x:v>
      </x:c>
      <x:c r="M36" s="10" t="str">
        <x:v>https://www.youtube.com/watch?v=_sC2kO_iOl0</x:v>
      </x:c>
      <x:c r="N36" s="10" t="str">
        <x:v>Direct reference</x:v>
      </x:c>
      <x:c r="O36" s="10" t="str">
        <x:v>Shamima Ka Kitchen — Moong Dal Chicken</x:v>
      </x:c>
    </x:row>
    <x:row r="37" ht="88" customHeight="1">
      <x:c r="A37" s="41" t="str">
        <x:v>Day 3</x:v>
      </x:c>
      <x:c r="B37" s="41" t="str">
        <x:v>Lunch</x:v>
      </x:c>
      <x:c r="C37" s="41" t="str">
        <x:v>Chicken breast 100 g
Moong dal (dry) 35 g
Rice (dry) 35 g
Asparagus [CF] 100 g
Cabbage [CF] 150 g
Cauliflower [CF] 100 g
Onion [CF] 40 g
Sesame seeds 10 g
Cooking oil 2 g
No milk/curd/yogurt</x:v>
      </x:c>
      <x:c r="D37" s="41" t="n">
        <x:v>3</x:v>
      </x:c>
      <x:c r="E37" s="41" t="str">
        <x:v>Pepper Chicken Moong Dal</x:v>
      </x:c>
      <x:c r="F37" s="41" t="str">
        <x:v>South Indian-inspired</x:v>
      </x:c>
      <x:c r="G37" s="41" t="str">
        <x:v>Instant Pot + pan</x:v>
      </x:c>
      <x:c r="H37" s="41" t="str">
        <x:v>8 min</x:v>
      </x:c>
      <x:c r="I37" s="41" t="str">
        <x:v>12 min</x:v>
      </x:c>
      <x:c r="J37" s="41" t="str">
        <x:v>Yes</x:v>
      </x:c>
      <x:c r="K37" s="41" t="str">
        <x:v>Cook thick moong dal with vegetables; stir in cooked pepper-cumin chicken. Serve over rice; add sesame.</x:v>
      </x:c>
      <x:c r="L37" s="41" t="str">
        <x:v>Comfort-food style</x:v>
      </x:c>
      <x:c r="M37" s="10" t="str">
        <x:v>https://www.youtube.com/watch?v=_sC2kO_iOl0</x:v>
      </x:c>
      <x:c r="N37" s="10" t="str">
        <x:v>Direct reference</x:v>
      </x:c>
      <x:c r="O37" s="10" t="str">
        <x:v>Shamima Ka Kitchen — Moong Dal Chicken</x:v>
      </x:c>
    </x:row>
    <x:row r="38" ht="88" customHeight="1">
      <x:c r="A38" s="41" t="str">
        <x:v>Day 3</x:v>
      </x:c>
      <x:c r="B38" s="41" t="str">
        <x:v>Dinner</x:v>
      </x:c>
      <x:c r="C38" s="41" t="str">
        <x:v>Whole eggs 1
Egg whites 150 g
Chickpeas (dry) 40 g
Ragi flour 45 g
Mushrooms [CF] 150 g
Cabbage [CF] 150 g
Frozen sweet peas [CF] 60 g
Sesame seeds 10 g
Cooking oil 2 g
No milk/curd/yogurt</x:v>
      </x:c>
      <x:c r="D38" s="41" t="n">
        <x:v>1</x:v>
      </x:c>
      <x:c r="E38" s="41" t="str">
        <x:v>Ragi Mudde + Egg-Chana Vegetable Curry</x:v>
      </x:c>
      <x:c r="F38" s="41" t="str">
        <x:v>South Indian</x:v>
      </x:c>
      <x:c r="G38" s="41" t="str">
        <x:v>Instant Pot + stove</x:v>
      </x:c>
      <x:c r="H38" s="41" t="str">
        <x:v>10 min</x:v>
      </x:c>
      <x:c r="I38" s="41" t="str">
        <x:v>15 min</x:v>
      </x:c>
      <x:c r="J38" s="41" t="str">
        <x:v>Yes</x:v>
      </x:c>
      <x:c r="K38" s="41" t="str">
        <x:v>Cook chickpeas/vegetables with spices; add boiled/scrambled egg and whites. Prepare simple ragi mudde from measured flour. Finish curry with sesame.</x:v>
      </x:c>
      <x:c r="L38" s="41" t="str">
        <x:v>Recommended — Best traditional option</x:v>
      </x:c>
      <x:c r="M38" s="10" t="str">
        <x:v>https://www.youtube.com/results?search_query=Ragi+Mudde+%2B+Egg-Chana+Vegetable+Curry+Indian+recipe</x:v>
      </x:c>
      <x:c r="N38" s="10" t="str">
        <x:v>YouTube search fallback</x:v>
      </x:c>
      <x:c r="O38" s="10" t="str">
        <x:v>Closest search only; exact recipe not verified.</x:v>
      </x:c>
    </x:row>
    <x:row r="39" ht="88" customHeight="1">
      <x:c r="A39" s="41" t="str">
        <x:v>Day 3</x:v>
      </x:c>
      <x:c r="B39" s="41" t="str">
        <x:v>Dinner</x:v>
      </x:c>
      <x:c r="C39" s="41" t="str">
        <x:v>Whole eggs 1
Egg whites 150 g
Chickpeas (dry) 40 g
Ragi flour 45 g
Mushrooms [CF] 150 g
Cabbage [CF] 150 g
Frozen sweet peas [CF] 60 g
Sesame seeds 10 g
Cooking oil 2 g
No milk/curd/yogurt</x:v>
      </x:c>
      <x:c r="D39" s="41" t="n">
        <x:v>2</x:v>
      </x:c>
      <x:c r="E39" s="41" t="str">
        <x:v>Ragi Porridge + Egg-Chickpea Bowl</x:v>
      </x:c>
      <x:c r="F39" s="41" t="str">
        <x:v>Indian-inspired</x:v>
      </x:c>
      <x:c r="G39" s="41" t="str">
        <x:v>Stove + Instant Pot</x:v>
      </x:c>
      <x:c r="H39" s="41" t="str">
        <x:v>7 min</x:v>
      </x:c>
      <x:c r="I39" s="41" t="str">
        <x:v>10 min</x:v>
      </x:c>
      <x:c r="J39" s="41" t="str">
        <x:v>Yes</x:v>
      </x:c>
      <x:c r="K39" s="41" t="str">
        <x:v>Make savory ragi porridge. Top with batch-cooked chickpeas, mushroom/cabbage/peas and egg mixture; sprinkle sesame.</x:v>
      </x:c>
      <x:c r="L39" s="41" t="str">
        <x:v>Easier than mudde</x:v>
      </x:c>
      <x:c r="M39" s="10" t="str">
        <x:v>https://www.youtube.com/results?search_query=chickpea+ragi+Indian+recipe</x:v>
      </x:c>
      <x:c r="N39" s="10" t="str">
        <x:v>YouTube search fallback</x:v>
      </x:c>
      <x:c r="O39" s="10" t="str">
        <x:v>No close exact direct video verified.</x:v>
      </x:c>
    </x:row>
    <x:row r="40" ht="88" customHeight="1">
      <x:c r="A40" s="41" t="str">
        <x:v>Day 3</x:v>
      </x:c>
      <x:c r="B40" s="41" t="str">
        <x:v>Dinner</x:v>
      </x:c>
      <x:c r="C40" s="41" t="str">
        <x:v>Whole eggs 1
Egg whites 150 g
Chickpeas (dry) 40 g
Ragi flour 45 g
Mushrooms [CF] 150 g
Cabbage [CF] 150 g
Frozen sweet peas [CF] 60 g
Sesame seeds 10 g
Cooking oil 2 g
No milk/curd/yogurt</x:v>
      </x:c>
      <x:c r="D40" s="41" t="n">
        <x:v>3</x:v>
      </x:c>
      <x:c r="E40" s="41" t="str">
        <x:v>Ragi Chilla + Egg-Chana Filling</x:v>
      </x:c>
      <x:c r="F40" s="41" t="str">
        <x:v>Indian</x:v>
      </x:c>
      <x:c r="G40" s="41" t="str">
        <x:v>Nonstick pan</x:v>
      </x:c>
      <x:c r="H40" s="41" t="str">
        <x:v>10 min</x:v>
      </x:c>
      <x:c r="I40" s="41" t="str">
        <x:v>12 min</x:v>
      </x:c>
      <x:c r="J40" s="41" t="str">
        <x:v>Partial</x:v>
      </x:c>
      <x:c r="K40" s="41" t="str">
        <x:v>Make thin ragi chillas without extra oil. Fill with egg/egg-white scramble, chickpeas and vegetables; sesame on top.</x:v>
      </x:c>
      <x:c r="L40" s="41" t="str">
        <x:v>Most portable</x:v>
      </x:c>
      <x:c r="M40" s="10" t="str">
        <x:v>https://www.youtube.com/results?search_query=Ragi+Chilla+%2B+Egg-Chana+Filling+Indian+recipe</x:v>
      </x:c>
      <x:c r="N40" s="10" t="str">
        <x:v>YouTube search fallback</x:v>
      </x:c>
      <x:c r="O40" s="10" t="str">
        <x:v>Closest search only; exact recipe not verified.</x:v>
      </x:c>
    </x:row>
    <x:row r="41" ht="88" customHeight="1">
      <x:c r="A41" s="41" t="str">
        <x:v>Day 4</x:v>
      </x:c>
      <x:c r="B41" s="41" t="str">
        <x:v>Breakfast</x:v>
      </x:c>
      <x:c r="C41" s="41" t="str">
        <x:v>Oats 37 g
Low-fat milk 300 ml
Whole eggs 1
Egg whites 50 g
SEPARATE SEED SIDE:
Ground flaxseed 5 g
Hemp hearts 5 g
Sunflower seeds 5 g
No added salt; no onion/garlic in this milk-containing meal
Do not mix seeds into the milk/oats</x:v>
      </x:c>
      <x:c r="D41" s="41" t="n">
        <x:v>1</x:v>
      </x:c>
      <x:c r="E41" s="41" t="str">
        <x:v>Warm Oats + Eggs + Separate Seed Side</x:v>
      </x:c>
      <x:c r="F41" s="41" t="str">
        <x:v>Recommended cooked</x:v>
      </x:c>
      <x:c r="G41" s="41" t="str">
        <x:v>Pan + cup</x:v>
      </x:c>
      <x:c r="H41" s="41" t="str">
        <x:v>6–8 min</x:v>
      </x:c>
      <x:c r="I41" s="41" t="str">
        <x:v>6–10 min</x:v>
      </x:c>
      <x:c r="J41" s="41" t="str">
        <x:v>Yes</x:v>
      </x:c>
      <x:c r="K41" s="41" t="str">
        <x:v>Cook the listed oats/ragi with milk. Cook or use batch-prepared eggs/egg whites separately. Eat the measured seed mix from a separate small bowl/container; do not stir it into the milk/grain meal.</x:v>
      </x:c>
      <x:c r="L41" s="41" t="str">
        <x:v>Recommended default; seed rotation adds variety without changing the rest of the day.</x:v>
      </x:c>
      <x:c r="M41" s="10" t="str">
        <x:v>https://www.youtube.com/results?search_query=Indian+oats+egg+breakfast+recipe</x:v>
      </x:c>
      <x:c r="N41" s="10" t="str">
        <x:v>YouTube search fallback</x:v>
      </x:c>
      <x:c r="O41" s="10" t="str">
        <x:v>No close exact direct video verified; use only as a technique reference.</x:v>
      </x:c>
    </x:row>
    <x:row r="42" ht="88" customHeight="1">
      <x:c r="A42" s="41" t="str">
        <x:v>Day 4</x:v>
      </x:c>
      <x:c r="B42" s="41" t="str">
        <x:v>Breakfast</x:v>
      </x:c>
      <x:c r="C42" s="41" t="str">
        <x:v>Ragi flour 25 g
Moong dal (dry) 25 g
Low-fat milk 275 ml
Whole eggs 1
Egg whites 35 g
Cooking oil 2 g
SEPARATE SEED SIDE:
Ground flaxseed 5 g
Hemp hearts 5 g
Sunflower seeds 5 g
No added salt; no onion/garlic because milk is part of this breakfast</x:v>
      </x:c>
      <x:c r="D42" s="41" t="n">
        <x:v>2</x:v>
      </x:c>
      <x:c r="E42" s="41" t="str">
        <x:v>Unsalted Ragi-Moong Chilla + Milk + Egg</x:v>
      </x:c>
      <x:c r="F42" s="41" t="str">
        <x:v>Indian cooked variety</x:v>
      </x:c>
      <x:c r="G42" s="41" t="str">
        <x:v>Nonstick pan + cup</x:v>
      </x:c>
      <x:c r="H42" s="41" t="str">
        <x:v>5–7 min</x:v>
      </x:c>
      <x:c r="I42" s="41" t="str">
        <x:v>6–10 min</x:v>
      </x:c>
      <x:c r="J42" s="41" t="str">
        <x:v>Partial</x:v>
      </x:c>
      <x:c r="K42" s="41" t="str">
        <x:v>Use soaked/batch-ground moong with ragi and permitted salt-free spices to make thin chillas with exactly 2 g oil. Serve milk, egg/egg whites and the seed side separately. No added salt/onion/garlic.</x:v>
      </x:c>
      <x:c r="L42" s="41" t="str">
        <x:v>Higher variety; batter can be prepared in advance.</x:v>
      </x:c>
      <x:c r="M42" s="10" t="str">
        <x:v>https://www.youtube.com/watch?v=6JXC5N9hF6k</x:v>
      </x:c>
      <x:c r="N42" s="10" t="str">
        <x:v>Direct reference</x:v>
      </x:c>
      <x:c r="O42" s="10" t="str">
        <x:v>Hebbars Kitchen — Moong Dal Chilla</x:v>
      </x:c>
    </x:row>
    <x:row r="43" ht="88" customHeight="1">
      <x:c r="A43" s="41" t="str">
        <x:v>Day 4</x:v>
      </x:c>
      <x:c r="B43" s="41" t="str">
        <x:v>Breakfast</x:v>
      </x:c>
      <x:c r="C43" s="41" t="str">
        <x:v>Thick poha / flattened rice (dry) 25 g
Moong dal (dry) 20 g
Frozen sweet peas [CF] 50 g
Low-fat milk 300 ml
Whole eggs 1
Egg whites 15 g
Cooking oil 2 g
SEPARATE SEED SIDE:
Ground flaxseed 5 g
Hemp hearts 5 g
Sunflower seeds 5 g
No added salt; no onion/garlic because milk is part of this breakfast</x:v>
      </x:c>
      <x:c r="D43" s="41" t="n">
        <x:v>3</x:v>
      </x:c>
      <x:c r="E43" s="41" t="str">
        <x:v>Unsalted Poha-Moong Egg Bowl + Milk</x:v>
      </x:c>
      <x:c r="F43" s="41" t="str">
        <x:v>Indian cooked variety</x:v>
      </x:c>
      <x:c r="G43" s="41" t="str">
        <x:v>Pan + cup</x:v>
      </x:c>
      <x:c r="H43" s="41" t="str">
        <x:v>6–8 min</x:v>
      </x:c>
      <x:c r="I43" s="41" t="str">
        <x:v>6–10 min</x:v>
      </x:c>
      <x:c r="J43" s="41" t="str">
        <x:v>Partial</x:v>
      </x:c>
      <x:c r="K43" s="41" t="str">
        <x:v>Soften poha, fold in cooked moong and peas, and heat with permitted salt-free spices using exactly 2 g oil. Serve milk and eggs separately. Eat the seed mix separately. No added salt/onion/garlic.</x:v>
      </x:c>
      <x:c r="L43" s="41" t="str">
        <x:v>Different grain/texture from oats and ragi.</x:v>
      </x:c>
      <x:c r="M43" s="10" t="str">
        <x:v>https://www.youtube.com/watch?v=qaEo1czH9sw</x:v>
      </x:c>
      <x:c r="N43" s="10" t="str">
        <x:v>Direct reference</x:v>
      </x:c>
      <x:c r="O43" s="10" t="str">
        <x:v>Hebbars Kitchen — Poha Recipe</x:v>
      </x:c>
    </x:row>
    <x:row r="44" ht="88" customHeight="1">
      <x:c r="A44" s="41" t="str">
        <x:v>Day 4</x:v>
      </x:c>
      <x:c r="B44" s="41" t="str">
        <x:v>Breakfast</x:v>
      </x:c>
      <x:c r="C44" s="41" t="str">
        <x:v>Ready-to-eat / steam-processed ragi flakes 10 g
Thick poha / flattened rice 40 g
Low-fat milk 300 ml
Whole eggs 1
Batch-cooked egg whites 50 g
SEPARATE SEED SIDE:
Ground flaxseed 5 g
Hemp hearts 5 g
Sunflower seeds 5 g
No added salt; no onion/garlic
Use RTE/steam-processed ragi flakes only — not raw ragi flour</x:v>
      </x:c>
      <x:c r="D44" s="41" t="n">
        <x:v>4</x:v>
      </x:c>
      <x:c r="E44" s="41" t="str">
        <x:v>Overnight No-Cook Breakfast Jar + Pre-Cooked Eggs</x:v>
      </x:c>
      <x:c r="F44" s="41" t="str">
        <x:v>NO-COOK MORNING</x:v>
      </x:c>
      <x:c r="G44" s="41" t="str">
        <x:v>Jar / refrigerator</x:v>
      </x:c>
      <x:c r="H44" s="41" t="str">
        <x:v>0 min morning</x:v>
      </x:c>
      <x:c r="I44" s="41" t="str">
        <x:v>0</x:v>
      </x:c>
      <x:c r="J44" s="41" t="str">
        <x:v>Yes</x:v>
      </x:c>
      <x:c r="K44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44" s="41" t="str">
        <x:v>Zero-cook morning option; seeds stay separate.</x:v>
      </x:c>
      <x:c r="M44" s="10" t="str">
        <x:v>https://www.youtube.com/watch?v=NeBf5ewmI0A</x:v>
      </x:c>
      <x:c r="N44" s="10" t="str">
        <x:v>Direct reference</x:v>
      </x:c>
      <x:c r="O44" s="10" t="str">
        <x:v>Clean &amp; Delicious — Overnight Oats 6 Ways</x:v>
      </x:c>
    </x:row>
    <x:row r="45" ht="88" customHeight="1">
      <x:c r="A45" s="41" t="str">
        <x:v>Day 4</x:v>
      </x:c>
      <x:c r="B45" s="41" t="str">
        <x:v>Mid-morning fruit</x:v>
      </x:c>
      <x:c r="C45" s="41" t="str">
        <x:v>Mango [CF] 150 g
Eat alone; ≥2 h after breakfast and ≥2 h before lunch</x:v>
      </x:c>
      <x:c r="D45" s="41" t="n">
        <x:v>1</x:v>
      </x:c>
      <x:c r="E45" s="41" t="str">
        <x:v>Plain Mango</x:v>
      </x:c>
      <x:c r="F45" s="41" t="str">
        <x:v>Fresh</x:v>
      </x:c>
      <x:c r="G45" s="41" t="str">
        <x:v>None</x:v>
      </x:c>
      <x:c r="H45" s="41" t="str">
        <x:v>2 min</x:v>
      </x:c>
      <x:c r="I45" s="41" t="str">
        <x:v>0</x:v>
      </x:c>
      <x:c r="J45" s="41" t="str">
        <x:v>No</x:v>
      </x:c>
      <x:c r="K45" s="41" t="str">
        <x:v>Prepare the measured mango and eat it by itself.</x:v>
      </x:c>
      <x:c r="L45" s="41" t="str">
        <x:v>Fruit remains literally alone; no dairy or seasonings.</x:v>
      </x:c>
      <x:c r="M45" s="10" t="str"/>
      <x:c r="N45" s="10" t="str">
        <x:v>Not needed</x:v>
      </x:c>
      <x:c r="O45" s="10" t="str">
        <x:v>Fresh fruit is eaten alone; no recipe video needed.</x:v>
      </x:c>
    </x:row>
    <x:row r="46" ht="88" customHeight="1">
      <x:c r="A46" s="41" t="str">
        <x:v>Day 4</x:v>
      </x:c>
      <x:c r="B46" s="41" t="str">
        <x:v>Mid-morning fruit</x:v>
      </x:c>
      <x:c r="C46" s="41" t="str">
        <x:v>Mango [CF] 150 g
Eat alone; ≥2 h after breakfast and ≥2 h before lunch</x:v>
      </x:c>
      <x:c r="D46" s="41" t="n">
        <x:v>2</x:v>
      </x:c>
      <x:c r="E46" s="41" t="str">
        <x:v>Chilled Mango</x:v>
      </x:c>
      <x:c r="F46" s="41" t="str">
        <x:v>Fresh</x:v>
      </x:c>
      <x:c r="G46" s="41" t="str">
        <x:v>None</x:v>
      </x:c>
      <x:c r="H46" s="41" t="str">
        <x:v>2 min</x:v>
      </x:c>
      <x:c r="I46" s="41" t="str">
        <x:v>0</x:v>
      </x:c>
      <x:c r="J46" s="41" t="str">
        <x:v>No</x:v>
      </x:c>
      <x:c r="K46" s="41" t="str">
        <x:v>Chill the measured mango and eat it by itself; do not add seasonings or other foods.</x:v>
      </x:c>
      <x:c r="L46" s="41" t="str">
        <x:v>Fruit remains literally alone; no dairy or seasonings.</x:v>
      </x:c>
      <x:c r="M46" s="10" t="str"/>
      <x:c r="N46" s="10" t="str">
        <x:v>Not needed</x:v>
      </x:c>
      <x:c r="O46" s="10" t="str">
        <x:v>Fresh fruit is eaten alone; no recipe video needed.</x:v>
      </x:c>
    </x:row>
    <x:row r="47" ht="88" customHeight="1">
      <x:c r="A47" s="41" t="str">
        <x:v>Day 4</x:v>
      </x:c>
      <x:c r="B47" s="41" t="str">
        <x:v>Mid-morning fruit</x:v>
      </x:c>
      <x:c r="C47" s="41" t="str">
        <x:v>Mango [CF] 150 g
Eat alone; ≥2 h after breakfast and ≥2 h before lunch</x:v>
      </x:c>
      <x:c r="D47" s="41" t="n">
        <x:v>3</x:v>
      </x:c>
      <x:c r="E47" s="41" t="str">
        <x:v>Mango - Alternate Cut</x:v>
      </x:c>
      <x:c r="F47" s="41" t="str">
        <x:v>Fresh</x:v>
      </x:c>
      <x:c r="G47" s="41" t="str">
        <x:v>None</x:v>
      </x:c>
      <x:c r="H47" s="41" t="str">
        <x:v>2 min</x:v>
      </x:c>
      <x:c r="I47" s="41" t="str">
        <x:v>0</x:v>
      </x:c>
      <x:c r="J47" s="41" t="str">
        <x:v>No</x:v>
      </x:c>
      <x:c r="K47" s="41" t="str">
        <x:v>Slice, dice, or lightly mash the measured mango for a different texture; eat it by itself.</x:v>
      </x:c>
      <x:c r="L47" s="41" t="str">
        <x:v>Fruit remains literally alone; no dairy or seasonings.</x:v>
      </x:c>
      <x:c r="M47" s="10" t="str"/>
      <x:c r="N47" s="10" t="str">
        <x:v>Not needed</x:v>
      </x:c>
      <x:c r="O47" s="10" t="str">
        <x:v>Fresh fruit is eaten alone; no recipe video needed.</x:v>
      </x:c>
    </x:row>
    <x:row r="48" ht="88" customHeight="1">
      <x:c r="A48" s="41" t="str">
        <x:v>Day 4</x:v>
      </x:c>
      <x:c r="B48" s="41" t="str">
        <x:v>Lunch</x:v>
      </x:c>
      <x:c r="C48" s="41" t="str">
        <x:v>Tilapia fillet 160 g
Chickpeas (dry) 40 g
Rice (dry) 40 g
Asparagus [CF] 120 g
Cauliflower [CF] 150 g
Carrots [CF] 100 g
Onion [CF] 40 g
Sesame seeds 15 g
Cooking oil 3 g
No milk/curd/yogurt</x:v>
      </x:c>
      <x:c r="D48" s="41" t="n">
        <x:v>1</x:v>
      </x:c>
      <x:c r="E48" s="41" t="str">
        <x:v>Air-Fryer Tandoori-Style Tilapia Bowl</x:v>
      </x:c>
      <x:c r="F48" s="41" t="str">
        <x:v>Indian</x:v>
      </x:c>
      <x:c r="G48" s="41" t="str">
        <x:v>Air fryer + Instant Pot</x:v>
      </x:c>
      <x:c r="H48" s="41" t="str">
        <x:v>8 min</x:v>
      </x:c>
      <x:c r="I48" s="41" t="str">
        <x:v>8–10 min fish</x:v>
      </x:c>
      <x:c r="J48" s="41" t="str">
        <x:v>Partial</x:v>
      </x:c>
      <x:c r="K48" s="41" t="str">
        <x:v>Coat tilapia with turmeric, cumin, coriander, chili, ginger, garlic and lemon—no yogurt. Air-fry until cooked. Serve with batch chickpeas, rice and vegetables; sprinkle sesame.</x:v>
      </x:c>
      <x:c r="L48" s="41" t="str">
        <x:v>Recommended — Best fish option</x:v>
      </x:c>
      <x:c r="M48" s="10" t="str">
        <x:v>https://www.youtube.com/results?search_query=Indian+tilapia+curry+recipe</x:v>
      </x:c>
      <x:c r="N48" s="10" t="str">
        <x:v>YouTube search fallback</x:v>
      </x:c>
      <x:c r="O48" s="10" t="str">
        <x:v>No close exact direct video verified; follow workbook ingredients/quantities.</x:v>
      </x:c>
    </x:row>
    <x:row r="49" ht="88" customHeight="1">
      <x:c r="A49" s="41" t="str">
        <x:v>Day 4</x:v>
      </x:c>
      <x:c r="B49" s="41" t="str">
        <x:v>Lunch</x:v>
      </x:c>
      <x:c r="C49" s="41" t="str">
        <x:v>Tilapia fillet 160 g
Chickpeas (dry) 40 g
Rice (dry) 40 g
Asparagus [CF] 120 g
Cauliflower [CF] 150 g
Carrots [CF] 100 g
Onion [CF] 40 g
Sesame seeds 15 g
Cooking oil 3 g
No milk/curd/yogurt</x:v>
      </x:c>
      <x:c r="D49" s="41" t="n">
        <x:v>2</x:v>
      </x:c>
      <x:c r="E49" s="41" t="str">
        <x:v>Pan-Seared Masala Tilapia + Chana Rice</x:v>
      </x:c>
      <x:c r="F49" s="41" t="str">
        <x:v>Indian</x:v>
      </x:c>
      <x:c r="G49" s="41" t="str">
        <x:v>Pan + Instant Pot</x:v>
      </x:c>
      <x:c r="H49" s="41" t="str">
        <x:v>8 min</x:v>
      </x:c>
      <x:c r="I49" s="41" t="str">
        <x:v>8–10 min</x:v>
      </x:c>
      <x:c r="J49" s="41" t="str">
        <x:v>Partial</x:v>
      </x:c>
      <x:c r="K49" s="41" t="str">
        <x:v>Season tilapia with turmeric/cumin/coriander; pan-cook using only part of the listed oil. Serve with chickpea-vegetable rice and sesame.</x:v>
      </x:c>
      <x:c r="L49" s="41" t="str">
        <x:v>No air fryer needed</x:v>
      </x:c>
      <x:c r="M49" s="10" t="str">
        <x:v>https://www.youtube.com/results?search_query=Indian+tilapia+curry+recipe</x:v>
      </x:c>
      <x:c r="N49" s="10" t="str">
        <x:v>YouTube search fallback</x:v>
      </x:c>
      <x:c r="O49" s="10" t="str">
        <x:v>No close exact direct video verified; follow workbook ingredients/quantities.</x:v>
      </x:c>
    </x:row>
    <x:row r="50" ht="88" customHeight="1">
      <x:c r="A50" s="41" t="str">
        <x:v>Day 4</x:v>
      </x:c>
      <x:c r="B50" s="41" t="str">
        <x:v>Lunch</x:v>
      </x:c>
      <x:c r="C50" s="41" t="str">
        <x:v>Tilapia fillet 160 g
Chickpeas (dry) 40 g
Rice (dry) 40 g
Asparagus [CF] 120 g
Cauliflower [CF] 150 g
Carrots [CF] 100 g
Onion [CF] 40 g
Sesame seeds 15 g
Cooking oil 3 g
No milk/curd/yogurt</x:v>
      </x:c>
      <x:c r="D50" s="41" t="n">
        <x:v>3</x:v>
      </x:c>
      <x:c r="E50" s="41" t="str">
        <x:v>Tilapia-Chana Vegetable Curry</x:v>
      </x:c>
      <x:c r="F50" s="41" t="str">
        <x:v>Indian</x:v>
      </x:c>
      <x:c r="G50" s="41" t="str">
        <x:v>Pan / Instant Pot</x:v>
      </x:c>
      <x:c r="H50" s="41" t="str">
        <x:v>8 min</x:v>
      </x:c>
      <x:c r="I50" s="41" t="str">
        <x:v>12 min</x:v>
      </x:c>
      <x:c r="J50" s="41" t="str">
        <x:v>Partial</x:v>
      </x:c>
      <x:c r="K50" s="41" t="str">
        <x:v>Make onion-ginger-garlic chickpea vegetable curry; add tilapia near the end and gently simmer until cooked. Serve with rice and sesame.</x:v>
      </x:c>
      <x:c r="L50" s="41" t="str">
        <x:v>One-bowl curry style</x:v>
      </x:c>
      <x:c r="M50" s="10" t="str">
        <x:v>https://www.youtube.com/results?search_query=Indian+tilapia+curry+recipe</x:v>
      </x:c>
      <x:c r="N50" s="10" t="str">
        <x:v>YouTube search fallback</x:v>
      </x:c>
      <x:c r="O50" s="10" t="str">
        <x:v>No close exact direct video verified; follow workbook ingredients/quantities.</x:v>
      </x:c>
    </x:row>
    <x:row r="51" ht="88" customHeight="1">
      <x:c r="A51" s="41" t="str">
        <x:v>Day 4</x:v>
      </x:c>
      <x:c r="B51" s="41" t="str">
        <x:v>Dinner</x:v>
      </x:c>
      <x:c r="C51" s="41" t="str">
        <x:v>Chicken breast 100 g
Moong dal (dry) 35 g
Rice (dry) 40 g
Cabbage [CF] 150 g
Mushrooms [CF] 150 g
Frozen sweet peas [CF] 60 g
Sesame seeds 10 g
Cooking oil 3 g
No milk/curd/yogurt</x:v>
      </x:c>
      <x:c r="D51" s="41" t="n">
        <x:v>1</x:v>
      </x:c>
      <x:c r="E51" s="41" t="str">
        <x:v>Chicken-Moong Vegetable Khichdi</x:v>
      </x:c>
      <x:c r="F51" s="41" t="str">
        <x:v>Indian</x:v>
      </x:c>
      <x:c r="G51" s="41" t="str">
        <x:v>Instant Pot</x:v>
      </x:c>
      <x:c r="H51" s="41" t="str">
        <x:v>8 min</x:v>
      </x:c>
      <x:c r="I51" s="41" t="str">
        <x:v>12–15 min</x:v>
      </x:c>
      <x:c r="J51" s="41" t="str">
        <x:v>Yes</x:v>
      </x:c>
      <x:c r="K51" s="41" t="str">
        <x:v>Pressure-cook chicken, moong, rice, cabbage, mushrooms and peas with spices; finish with sesame.</x:v>
      </x:c>
      <x:c r="L51" s="41" t="str">
        <x:v>Recommended — Lowest cleanup</x:v>
      </x:c>
      <x:c r="M51" s="10" t="str">
        <x:v>https://www.youtube.com/watch?v=_sC2kO_iOl0</x:v>
      </x:c>
      <x:c r="N51" s="10" t="str">
        <x:v>Direct reference</x:v>
      </x:c>
      <x:c r="O51" s="10" t="str">
        <x:v>Shamima Ka Kitchen — Moong Dal Chicken</x:v>
      </x:c>
    </x:row>
    <x:row r="52" ht="88" customHeight="1">
      <x:c r="A52" s="41" t="str">
        <x:v>Day 4</x:v>
      </x:c>
      <x:c r="B52" s="41" t="str">
        <x:v>Dinner</x:v>
      </x:c>
      <x:c r="C52" s="41" t="str">
        <x:v>Chicken breast 100 g
Moong dal (dry) 35 g
Rice (dry) 40 g
Cabbage [CF] 150 g
Mushrooms [CF] 150 g
Frozen sweet peas [CF] 60 g
Sesame seeds 10 g
Cooking oil 3 g
No milk/curd/yogurt</x:v>
      </x:c>
      <x:c r="D52" s="41" t="n">
        <x:v>2</x:v>
      </x:c>
      <x:c r="E52" s="41" t="str">
        <x:v>Pepper Chicken + Moong Rice Bowl</x:v>
      </x:c>
      <x:c r="F52" s="41" t="str">
        <x:v>South Indian-inspired</x:v>
      </x:c>
      <x:c r="G52" s="41" t="str">
        <x:v>Instant Pot + pan</x:v>
      </x:c>
      <x:c r="H52" s="41" t="str">
        <x:v>8 min</x:v>
      </x:c>
      <x:c r="I52" s="41" t="str">
        <x:v>10–12 min</x:v>
      </x:c>
      <x:c r="J52" s="41" t="str">
        <x:v>Yes</x:v>
      </x:c>
      <x:c r="K52" s="41" t="str">
        <x:v>Use batch moong/rice; cook pepper-cumin chicken with vegetables in listed oil. Combine and top with sesame.</x:v>
      </x:c>
      <x:c r="L52" s="41" t="str">
        <x:v>Fast batch meal</x:v>
      </x:c>
      <x:c r="M52" s="10" t="str">
        <x:v>https://www.youtube.com/watch?v=_sC2kO_iOl0</x:v>
      </x:c>
      <x:c r="N52" s="10" t="str">
        <x:v>Direct reference</x:v>
      </x:c>
      <x:c r="O52" s="10" t="str">
        <x:v>Shamima Ka Kitchen — Moong Dal Chicken</x:v>
      </x:c>
    </x:row>
    <x:row r="53" ht="88" customHeight="1">
      <x:c r="A53" s="41" t="str">
        <x:v>Day 4</x:v>
      </x:c>
      <x:c r="B53" s="41" t="str">
        <x:v>Dinner</x:v>
      </x:c>
      <x:c r="C53" s="41" t="str">
        <x:v>Chicken breast 100 g
Moong dal (dry) 35 g
Rice (dry) 40 g
Cabbage [CF] 150 g
Mushrooms [CF] 150 g
Frozen sweet peas [CF] 60 g
Sesame seeds 10 g
Cooking oil 3 g
No milk/curd/yogurt</x:v>
      </x:c>
      <x:c r="D53" s="41" t="n">
        <x:v>3</x:v>
      </x:c>
      <x:c r="E53" s="41" t="str">
        <x:v>Chicken-Mushroom Moong Stew</x:v>
      </x:c>
      <x:c r="F53" s="41" t="str">
        <x:v>Indian-inspired</x:v>
      </x:c>
      <x:c r="G53" s="41" t="str">
        <x:v>Instant Pot</x:v>
      </x:c>
      <x:c r="H53" s="41" t="str">
        <x:v>6 min</x:v>
      </x:c>
      <x:c r="I53" s="41" t="str">
        <x:v>12 min</x:v>
      </x:c>
      <x:c r="J53" s="41" t="str">
        <x:v>Yes</x:v>
      </x:c>
      <x:c r="K53" s="41" t="str">
        <x:v>Cook chicken, moong, cabbage, mushrooms and peas into a thick stew. Serve with rice and sesame.</x:v>
      </x:c>
      <x:c r="L53" s="41" t="str">
        <x:v>Minimal active work</x:v>
      </x:c>
      <x:c r="M53" s="10" t="str">
        <x:v>https://www.youtube.com/watch?v=_sC2kO_iOl0</x:v>
      </x:c>
      <x:c r="N53" s="10" t="str">
        <x:v>Direct reference</x:v>
      </x:c>
      <x:c r="O53" s="10" t="str">
        <x:v>Shamima Ka Kitchen — Moong Dal Chicken</x:v>
      </x:c>
    </x:row>
    <x:row r="54" ht="88" customHeight="1">
      <x:c r="A54" s="41" t="str">
        <x:v>Day 5</x:v>
      </x:c>
      <x:c r="B54" s="41" t="str">
        <x:v>Breakfast</x:v>
      </x:c>
      <x:c r="C54" s="41" t="str">
        <x:v>Ragi flour 45 g
Low-fat milk 300 ml
Whole eggs 1
Egg whites 50 g
SEPARATE SEED SIDE:
Sesame seeds 5 g
Sunflower seeds 5 g
Chia seeds 5 g
No added salt; no onion/garlic in this milk-containing meal
Do not mix seeds into the milk/ragi bowl</x:v>
      </x:c>
      <x:c r="D54" s="41" t="n">
        <x:v>1</x:v>
      </x:c>
      <x:c r="E54" s="41" t="str">
        <x:v>Ragi Milk Porridge + Eggs + Separate Seed Side</x:v>
      </x:c>
      <x:c r="F54" s="41" t="str">
        <x:v>Recommended cooked</x:v>
      </x:c>
      <x:c r="G54" s="41" t="str">
        <x:v>Pan + cup</x:v>
      </x:c>
      <x:c r="H54" s="41" t="str">
        <x:v>6–8 min</x:v>
      </x:c>
      <x:c r="I54" s="41" t="str">
        <x:v>6–10 min</x:v>
      </x:c>
      <x:c r="J54" s="41" t="str">
        <x:v>Yes</x:v>
      </x:c>
      <x:c r="K54" s="41" t="str">
        <x:v>Cook the listed oats/ragi with milk. Cook or use batch-prepared eggs/egg whites separately. Eat the measured seed mix from a separate small bowl/container; do not stir it into the milk/grain meal.</x:v>
      </x:c>
      <x:c r="L54" s="41" t="str">
        <x:v>Recommended default; seed rotation adds variety without changing the rest of the day.</x:v>
      </x:c>
      <x:c r="M54" s="10" t="str">
        <x:v>https://www.youtube.com/watch?v=zBDcYxhYh_4</x:v>
      </x:c>
      <x:c r="N54" s="10" t="str">
        <x:v>Direct reference</x:v>
      </x:c>
      <x:c r="O54" s="10" t="str">
        <x:v>Hebbars Kitchen — Ragi Breakfast Recipes</x:v>
      </x:c>
    </x:row>
    <x:row r="55" ht="88" customHeight="1">
      <x:c r="A55" s="41" t="str">
        <x:v>Day 5</x:v>
      </x:c>
      <x:c r="B55" s="41" t="str">
        <x:v>Breakfast</x:v>
      </x:c>
      <x:c r="C55" s="41" t="str">
        <x:v>Ragi flour 25 g
Moong dal (dry) 25 g
Low-fat milk 275 ml
Whole eggs 1
Egg whites 50 g
Cooking oil 2 g
SEPARATE SEED SIDE:
Sesame seeds 5 g
Sunflower seeds 5 g
Chia seeds 5 g
No added salt; no onion/garlic because milk is part of this breakfast</x:v>
      </x:c>
      <x:c r="D55" s="41" t="n">
        <x:v>2</x:v>
      </x:c>
      <x:c r="E55" s="41" t="str">
        <x:v>Unsalted Ragi-Moong Chilla + Milk + Egg</x:v>
      </x:c>
      <x:c r="F55" s="41" t="str">
        <x:v>Indian cooked variety</x:v>
      </x:c>
      <x:c r="G55" s="41" t="str">
        <x:v>Nonstick pan + cup</x:v>
      </x:c>
      <x:c r="H55" s="41" t="str">
        <x:v>5–7 min</x:v>
      </x:c>
      <x:c r="I55" s="41" t="str">
        <x:v>6–10 min</x:v>
      </x:c>
      <x:c r="J55" s="41" t="str">
        <x:v>Partial</x:v>
      </x:c>
      <x:c r="K55" s="41" t="str">
        <x:v>Use soaked/batch-ground moong with ragi and permitted salt-free spices to make thin chillas with exactly 2 g oil. Serve milk, egg/egg whites and the seed side separately. No added salt/onion/garlic.</x:v>
      </x:c>
      <x:c r="L55" s="41" t="str">
        <x:v>Higher variety; batter can be prepared in advance.</x:v>
      </x:c>
      <x:c r="M55" s="10" t="str">
        <x:v>https://www.youtube.com/watch?v=6JXC5N9hF6k</x:v>
      </x:c>
      <x:c r="N55" s="10" t="str">
        <x:v>Direct reference</x:v>
      </x:c>
      <x:c r="O55" s="10" t="str">
        <x:v>Hebbars Kitchen — Moong Dal Chilla</x:v>
      </x:c>
    </x:row>
    <x:row r="56" ht="88" customHeight="1">
      <x:c r="A56" s="41" t="str">
        <x:v>Day 5</x:v>
      </x:c>
      <x:c r="B56" s="41" t="str">
        <x:v>Breakfast</x:v>
      </x:c>
      <x:c r="C56" s="41" t="str">
        <x:v>Thick poha / flattened rice (dry) 25 g
Moong dal (dry) 20 g
Frozen sweet peas [CF] 50 g
Low-fat milk 275 ml
Whole eggs 1
Egg whites 50 g
Cooking oil 2 g
SEPARATE SEED SIDE:
Sesame seeds 5 g
Sunflower seeds 5 g
Chia seeds 5 g
No added salt; no onion/garlic because milk is part of this breakfast</x:v>
      </x:c>
      <x:c r="D56" s="41" t="n">
        <x:v>3</x:v>
      </x:c>
      <x:c r="E56" s="41" t="str">
        <x:v>Unsalted Poha-Moong Egg Bowl + Milk</x:v>
      </x:c>
      <x:c r="F56" s="41" t="str">
        <x:v>Indian cooked variety</x:v>
      </x:c>
      <x:c r="G56" s="41" t="str">
        <x:v>Pan + cup</x:v>
      </x:c>
      <x:c r="H56" s="41" t="str">
        <x:v>6–8 min</x:v>
      </x:c>
      <x:c r="I56" s="41" t="str">
        <x:v>6–10 min</x:v>
      </x:c>
      <x:c r="J56" s="41" t="str">
        <x:v>Partial</x:v>
      </x:c>
      <x:c r="K56" s="41" t="str">
        <x:v>Soften poha, fold in cooked moong and peas, and heat with permitted salt-free spices using exactly 2 g oil. Serve milk and eggs separately. Eat the seed mix separately. No added salt/onion/garlic.</x:v>
      </x:c>
      <x:c r="L56" s="41" t="str">
        <x:v>Different grain/texture from oats and ragi.</x:v>
      </x:c>
      <x:c r="M56" s="10" t="str">
        <x:v>https://www.youtube.com/watch?v=qaEo1czH9sw</x:v>
      </x:c>
      <x:c r="N56" s="10" t="str">
        <x:v>Direct reference</x:v>
      </x:c>
      <x:c r="O56" s="10" t="str">
        <x:v>Hebbars Kitchen — Poha Recipe</x:v>
      </x:c>
    </x:row>
    <x:row r="57" ht="88" customHeight="1">
      <x:c r="A57" s="41" t="str">
        <x:v>Day 5</x:v>
      </x:c>
      <x:c r="B57" s="41" t="str">
        <x:v>Breakfast</x:v>
      </x:c>
      <x:c r="C57" s="41" t="str">
        <x:v>Rolled oats 15 g
Ready-to-eat / steam-processed ragi flakes 35 g
Low-fat milk 300 ml
Whole eggs 1
Batch-cooked egg whites 50 g
SEPARATE SEED SIDE:
Sesame seeds 5 g
Sunflower seeds 5 g
Chia seeds 5 g
No added salt; no onion/garlic
Use RTE/steam-processed ragi flakes only — not raw ragi flour</x:v>
      </x:c>
      <x:c r="D57" s="41" t="n">
        <x:v>4</x:v>
      </x:c>
      <x:c r="E57" s="41" t="str">
        <x:v>Overnight No-Cook Breakfast Jar + Pre-Cooked Eggs</x:v>
      </x:c>
      <x:c r="F57" s="41" t="str">
        <x:v>NO-COOK MORNING</x:v>
      </x:c>
      <x:c r="G57" s="41" t="str">
        <x:v>Jar / refrigerator</x:v>
      </x:c>
      <x:c r="H57" s="41" t="str">
        <x:v>0 min morning</x:v>
      </x:c>
      <x:c r="I57" s="41" t="str">
        <x:v>0</x:v>
      </x:c>
      <x:c r="J57" s="41" t="str">
        <x:v>Yes</x:v>
      </x:c>
      <x:c r="K57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57" s="41" t="str">
        <x:v>Zero-cook morning option; seeds stay separate.</x:v>
      </x:c>
      <x:c r="M57" s="10" t="str">
        <x:v>https://www.youtube.com/watch?v=NeBf5ewmI0A</x:v>
      </x:c>
      <x:c r="N57" s="10" t="str">
        <x:v>Direct reference</x:v>
      </x:c>
      <x:c r="O57" s="10" t="str">
        <x:v>Clean &amp; Delicious — Overnight Oats 6 Ways</x:v>
      </x:c>
    </x:row>
    <x:row r="58" ht="88" customHeight="1">
      <x:c r="A58" s="41" t="str">
        <x:v>Day 5</x:v>
      </x:c>
      <x:c r="B58" s="41" t="str">
        <x:v>Mid-morning fruit</x:v>
      </x:c>
      <x:c r="C58" s="41" t="str">
        <x:v>Papaya [CF] 150 g
Eat alone; ≥2 h after breakfast and ≥2 h before lunch</x:v>
      </x:c>
      <x:c r="D58" s="41" t="n">
        <x:v>1</x:v>
      </x:c>
      <x:c r="E58" s="41" t="str">
        <x:v>Plain Papaya</x:v>
      </x:c>
      <x:c r="F58" s="41" t="str">
        <x:v>Fresh</x:v>
      </x:c>
      <x:c r="G58" s="41" t="str">
        <x:v>None</x:v>
      </x:c>
      <x:c r="H58" s="41" t="str">
        <x:v>2 min</x:v>
      </x:c>
      <x:c r="I58" s="41" t="str">
        <x:v>0</x:v>
      </x:c>
      <x:c r="J58" s="41" t="str">
        <x:v>No</x:v>
      </x:c>
      <x:c r="K58" s="41" t="str">
        <x:v>Prepare the measured papaya and eat it by itself.</x:v>
      </x:c>
      <x:c r="L58" s="41" t="str">
        <x:v>Fruit remains literally alone; no dairy or seasonings.</x:v>
      </x:c>
      <x:c r="M58" s="10" t="str"/>
      <x:c r="N58" s="10" t="str">
        <x:v>Not needed</x:v>
      </x:c>
      <x:c r="O58" s="10" t="str">
        <x:v>Fresh fruit is eaten alone; no recipe video needed.</x:v>
      </x:c>
    </x:row>
    <x:row r="59" ht="88" customHeight="1">
      <x:c r="A59" s="41" t="str">
        <x:v>Day 5</x:v>
      </x:c>
      <x:c r="B59" s="41" t="str">
        <x:v>Mid-morning fruit</x:v>
      </x:c>
      <x:c r="C59" s="41" t="str">
        <x:v>Papaya [CF] 150 g
Eat alone; ≥2 h after breakfast and ≥2 h before lunch</x:v>
      </x:c>
      <x:c r="D59" s="41" t="n">
        <x:v>2</x:v>
      </x:c>
      <x:c r="E59" s="41" t="str">
        <x:v>Chilled Papaya</x:v>
      </x:c>
      <x:c r="F59" s="41" t="str">
        <x:v>Fresh</x:v>
      </x:c>
      <x:c r="G59" s="41" t="str">
        <x:v>None</x:v>
      </x:c>
      <x:c r="H59" s="41" t="str">
        <x:v>2 min</x:v>
      </x:c>
      <x:c r="I59" s="41" t="str">
        <x:v>0</x:v>
      </x:c>
      <x:c r="J59" s="41" t="str">
        <x:v>No</x:v>
      </x:c>
      <x:c r="K59" s="41" t="str">
        <x:v>Chill the measured papaya and eat it by itself; do not add seasonings or other foods.</x:v>
      </x:c>
      <x:c r="L59" s="41" t="str">
        <x:v>Fruit remains literally alone; no dairy or seasonings.</x:v>
      </x:c>
      <x:c r="M59" s="10" t="str"/>
      <x:c r="N59" s="10" t="str">
        <x:v>Not needed</x:v>
      </x:c>
      <x:c r="O59" s="10" t="str">
        <x:v>Fresh fruit is eaten alone; no recipe video needed.</x:v>
      </x:c>
    </x:row>
    <x:row r="60" ht="88" customHeight="1">
      <x:c r="A60" s="41" t="str">
        <x:v>Day 5</x:v>
      </x:c>
      <x:c r="B60" s="41" t="str">
        <x:v>Mid-morning fruit</x:v>
      </x:c>
      <x:c r="C60" s="41" t="str">
        <x:v>Papaya [CF] 150 g
Eat alone; ≥2 h after breakfast and ≥2 h before lunch</x:v>
      </x:c>
      <x:c r="D60" s="41" t="n">
        <x:v>3</x:v>
      </x:c>
      <x:c r="E60" s="41" t="str">
        <x:v>Papaya - Alternate Cut</x:v>
      </x:c>
      <x:c r="F60" s="41" t="str">
        <x:v>Fresh</x:v>
      </x:c>
      <x:c r="G60" s="41" t="str">
        <x:v>None</x:v>
      </x:c>
      <x:c r="H60" s="41" t="str">
        <x:v>2 min</x:v>
      </x:c>
      <x:c r="I60" s="41" t="str">
        <x:v>0</x:v>
      </x:c>
      <x:c r="J60" s="41" t="str">
        <x:v>No</x:v>
      </x:c>
      <x:c r="K60" s="41" t="str">
        <x:v>Slice, dice, or lightly mash the measured papaya for a different texture; eat it by itself.</x:v>
      </x:c>
      <x:c r="L60" s="41" t="str">
        <x:v>Fruit remains literally alone; no dairy or seasonings.</x:v>
      </x:c>
      <x:c r="M60" s="10" t="str"/>
      <x:c r="N60" s="10" t="str">
        <x:v>Not needed</x:v>
      </x:c>
      <x:c r="O60" s="10" t="str">
        <x:v>Fresh fruit is eaten alone; no recipe video needed.</x:v>
      </x:c>
    </x:row>
    <x:row r="61" ht="88" customHeight="1">
      <x:c r="A61" s="41" t="str">
        <x:v>Day 5</x:v>
      </x:c>
      <x:c r="B61" s="41" t="str">
        <x:v>Lunch</x:v>
      </x:c>
      <x:c r="C61" s="41" t="str">
        <x:v>Chicken breast 100 g
Masoor dal (dry) 40 g
Rice (dry) 35 g
Cauliflower [CF] 150 g
Cabbage [CF] 150 g
Carrots [CF] 100 g
Onion [CF] 40 g
Sesame seeds 10 g
Cooking oil 3 g
No milk/curd/yogurt</x:v>
      </x:c>
      <x:c r="D61" s="41" t="n">
        <x:v>1</x:v>
      </x:c>
      <x:c r="E61" s="41" t="str">
        <x:v>Chicken-Masoor Dal Bowl</x:v>
      </x:c>
      <x:c r="F61" s="41" t="str">
        <x:v>Indian</x:v>
      </x:c>
      <x:c r="G61" s="41" t="str">
        <x:v>Instant Pot + pan</x:v>
      </x:c>
      <x:c r="H61" s="41" t="str">
        <x:v>8 min</x:v>
      </x:c>
      <x:c r="I61" s="41" t="str">
        <x:v>12–15 min</x:v>
      </x:c>
      <x:c r="J61" s="41" t="str">
        <x:v>Yes</x:v>
      </x:c>
      <x:c r="K61" s="41" t="str">
        <x:v>Pressure-cook masoor with cauliflower, cabbage, carrots and onion. Stir in quick-cooked chicken or serve on top; eat with rice and sesame.</x:v>
      </x:c>
      <x:c r="L61" s="41" t="str">
        <x:v>Recommended — Very batch friendly</x:v>
      </x:c>
      <x:c r="M61" s="10" t="str">
        <x:v>https://www.youtube.com/watch?v=vezzSoHnZT0</x:v>
      </x:c>
      <x:c r="N61" s="10" t="str">
        <x:v>Direct reference</x:v>
      </x:c>
      <x:c r="O61" s="10" t="str">
        <x:v>Afroz Kitchen — Masoor Dal Chicken</x:v>
      </x:c>
    </x:row>
    <x:row r="62" ht="88" customHeight="1">
      <x:c r="A62" s="41" t="str">
        <x:v>Day 5</x:v>
      </x:c>
      <x:c r="B62" s="41" t="str">
        <x:v>Lunch</x:v>
      </x:c>
      <x:c r="C62" s="41" t="str">
        <x:v>Chicken breast 100 g
Masoor dal (dry) 40 g
Rice (dry) 35 g
Cauliflower [CF] 150 g
Cabbage [CF] 150 g
Carrots [CF] 100 g
Onion [CF] 40 g
Sesame seeds 10 g
Cooking oil 3 g
No milk/curd/yogurt</x:v>
      </x:c>
      <x:c r="D62" s="41" t="n">
        <x:v>2</x:v>
      </x:c>
      <x:c r="E62" s="41" t="str">
        <x:v>Chicken Masoor Khichdi</x:v>
      </x:c>
      <x:c r="F62" s="41" t="str">
        <x:v>Indian</x:v>
      </x:c>
      <x:c r="G62" s="41" t="str">
        <x:v>Instant Pot</x:v>
      </x:c>
      <x:c r="H62" s="41" t="str">
        <x:v>8 min</x:v>
      </x:c>
      <x:c r="I62" s="41" t="str">
        <x:v>10–12 min</x:v>
      </x:c>
      <x:c r="J62" s="41" t="str">
        <x:v>Yes</x:v>
      </x:c>
      <x:c r="K62" s="41" t="str">
        <x:v>Combine chicken, masoor, rice and vegetables with spices; pressure-cook. Finish with sesame.</x:v>
      </x:c>
      <x:c r="L62" s="41" t="str">
        <x:v>Fastest one-pot option</x:v>
      </x:c>
      <x:c r="M62" s="10" t="str">
        <x:v>https://www.youtube.com/watch?v=vezzSoHnZT0</x:v>
      </x:c>
      <x:c r="N62" s="10" t="str">
        <x:v>Direct reference</x:v>
      </x:c>
      <x:c r="O62" s="10" t="str">
        <x:v>Afroz Kitchen — Masoor Dal Chicken</x:v>
      </x:c>
    </x:row>
    <x:row r="63" ht="88" customHeight="1">
      <x:c r="A63" s="41" t="str">
        <x:v>Day 5</x:v>
      </x:c>
      <x:c r="B63" s="41" t="str">
        <x:v>Lunch</x:v>
      </x:c>
      <x:c r="C63" s="41" t="str">
        <x:v>Chicken breast 100 g
Masoor dal (dry) 40 g
Rice (dry) 35 g
Cauliflower [CF] 150 g
Cabbage [CF] 150 g
Carrots [CF] 100 g
Onion [CF] 40 g
Sesame seeds 10 g
Cooking oil 3 g
No milk/curd/yogurt</x:v>
      </x:c>
      <x:c r="D63" s="41" t="n">
        <x:v>3</x:v>
      </x:c>
      <x:c r="E63" s="41" t="str">
        <x:v>Pepper Chicken + Masoor Vegetable Dal</x:v>
      </x:c>
      <x:c r="F63" s="41" t="str">
        <x:v>Indian</x:v>
      </x:c>
      <x:c r="G63" s="41" t="str">
        <x:v>Instant Pot + pan</x:v>
      </x:c>
      <x:c r="H63" s="41" t="str">
        <x:v>8 min</x:v>
      </x:c>
      <x:c r="I63" s="41" t="str">
        <x:v>10 min</x:v>
      </x:c>
      <x:c r="J63" s="41" t="str">
        <x:v>Yes</x:v>
      </x:c>
      <x:c r="K63" s="41" t="str">
        <x:v>Use batch masoor dal; cook quick pepper chicken in listed oil. Serve with rice and sesame.</x:v>
      </x:c>
      <x:c r="L63" s="41" t="str">
        <x:v>Best with prep-day dal</x:v>
      </x:c>
      <x:c r="M63" s="10" t="str">
        <x:v>https://www.youtube.com/watch?v=vezzSoHnZT0</x:v>
      </x:c>
      <x:c r="N63" s="10" t="str">
        <x:v>Direct reference</x:v>
      </x:c>
      <x:c r="O63" s="10" t="str">
        <x:v>Afroz Kitchen — Masoor Dal Chicken</x:v>
      </x:c>
    </x:row>
    <x:row r="64" ht="88" customHeight="1">
      <x:c r="A64" s="41" t="str">
        <x:v>Day 5</x:v>
      </x:c>
      <x:c r="B64" s="41" t="str">
        <x:v>Dinner</x:v>
      </x:c>
      <x:c r="C64" s="41" t="str">
        <x:v>Whole eggs 2
Egg whites 150 g
Rajma (dry) 40 g
Asparagus [CF] 120 g
Mushrooms [CF] 150 g
Frozen sweet peas [CF] 60 g
Rice (dry) 30 g
Sesame seeds 10 g
Cooking oil 3 g
No milk/curd/yogurt</x:v>
      </x:c>
      <x:c r="D64" s="41" t="n">
        <x:v>1</x:v>
      </x:c>
      <x:c r="E64" s="41" t="str">
        <x:v>Rajma Egg Rice Bowl</x:v>
      </x:c>
      <x:c r="F64" s="41" t="str">
        <x:v>Indian</x:v>
      </x:c>
      <x:c r="G64" s="41" t="str">
        <x:v>Instant Pot + pan</x:v>
      </x:c>
      <x:c r="H64" s="41" t="str">
        <x:v>8 min</x:v>
      </x:c>
      <x:c r="I64" s="41" t="str">
        <x:v>10 min after beans cooked</x:v>
      </x:c>
      <x:c r="J64" s="41" t="str">
        <x:v>Yes</x:v>
      </x:c>
      <x:c r="K64" s="41" t="str">
        <x:v>Serve batch-cooked rajma/vegetables over rice; top with chopped boiled eggs/whites and sesame.</x:v>
      </x:c>
      <x:c r="L64" s="41" t="str">
        <x:v>Recommended — Very easy if rajma is ready</x:v>
      </x:c>
      <x:c r="M64" s="10" t="str">
        <x:v>https://www.youtube.com/results?search_query=egg+rajma+curry+recipe</x:v>
      </x:c>
      <x:c r="N64" s="10" t="str">
        <x:v>YouTube search fallback</x:v>
      </x:c>
      <x:c r="O64" s="10" t="str">
        <x:v>No close exact direct video verified.</x:v>
      </x:c>
    </x:row>
    <x:row r="65" ht="88" customHeight="1">
      <x:c r="A65" s="41" t="str">
        <x:v>Day 5</x:v>
      </x:c>
      <x:c r="B65" s="41" t="str">
        <x:v>Dinner</x:v>
      </x:c>
      <x:c r="C65" s="41" t="str">
        <x:v>Whole eggs 2
Egg whites 150 g
Rajma (dry) 40 g
Asparagus [CF] 120 g
Mushrooms [CF] 150 g
Frozen sweet peas [CF] 60 g
Rice (dry) 30 g
Sesame seeds 10 g
Cooking oil 3 g
No milk/curd/yogurt</x:v>
      </x:c>
      <x:c r="D65" s="41" t="n">
        <x:v>2</x:v>
      </x:c>
      <x:c r="E65" s="41" t="str">
        <x:v>Egg-Rajma Masala</x:v>
      </x:c>
      <x:c r="F65" s="41" t="str">
        <x:v>Indian</x:v>
      </x:c>
      <x:c r="G65" s="41" t="str">
        <x:v>Pan + Instant Pot</x:v>
      </x:c>
      <x:c r="H65" s="41" t="str">
        <x:v>8 min</x:v>
      </x:c>
      <x:c r="I65" s="41" t="str">
        <x:v>10–12 min</x:v>
      </x:c>
      <x:c r="J65" s="41" t="str">
        <x:v>Yes</x:v>
      </x:c>
      <x:c r="K65" s="41" t="str">
        <x:v>Cook rajma with mushrooms, peas and asparagus; fold in egg bhurji. Serve with rice and sesame.</x:v>
      </x:c>
      <x:c r="L65" s="41" t="str">
        <x:v>Good texture</x:v>
      </x:c>
      <x:c r="M65" s="10" t="str">
        <x:v>https://www.youtube.com/results?search_query=egg+rajma+curry+recipe</x:v>
      </x:c>
      <x:c r="N65" s="10" t="str">
        <x:v>YouTube search fallback</x:v>
      </x:c>
      <x:c r="O65" s="10" t="str">
        <x:v>No close exact direct video verified.</x:v>
      </x:c>
    </x:row>
    <x:row r="66" ht="88" customHeight="1">
      <x:c r="A66" s="41" t="str">
        <x:v>Day 5</x:v>
      </x:c>
      <x:c r="B66" s="41" t="str">
        <x:v>Dinner</x:v>
      </x:c>
      <x:c r="C66" s="41" t="str">
        <x:v>Whole eggs 2
Egg whites 150 g
Rajma (dry) 40 g
Asparagus [CF] 120 g
Mushrooms [CF] 150 g
Frozen sweet peas [CF] 60 g
Rice (dry) 30 g
Sesame seeds 10 g
Cooking oil 3 g
No milk/curd/yogurt</x:v>
      </x:c>
      <x:c r="D66" s="41" t="n">
        <x:v>3</x:v>
      </x:c>
      <x:c r="E66" s="41" t="str">
        <x:v>Rajma Vegetable Stew + Eggs</x:v>
      </x:c>
      <x:c r="F66" s="41" t="str">
        <x:v>Indian</x:v>
      </x:c>
      <x:c r="G66" s="41" t="str">
        <x:v>Instant Pot</x:v>
      </x:c>
      <x:c r="H66" s="41" t="str">
        <x:v>6 min</x:v>
      </x:c>
      <x:c r="I66" s="41" t="str">
        <x:v>10 min</x:v>
      </x:c>
      <x:c r="J66" s="41" t="str">
        <x:v>Yes</x:v>
      </x:c>
      <x:c r="K66" s="41" t="str">
        <x:v>Make thick rajma-vegetable stew; add boiled eggs/whites at serving. Serve rice and sesame alongside.</x:v>
      </x:c>
      <x:c r="L66" s="41" t="str">
        <x:v>Lowest active effort</x:v>
      </x:c>
      <x:c r="M66" s="10" t="str">
        <x:v>https://www.youtube.com/results?search_query=egg+rajma+curry+recipe</x:v>
      </x:c>
      <x:c r="N66" s="10" t="str">
        <x:v>YouTube search fallback</x:v>
      </x:c>
      <x:c r="O66" s="10" t="str">
        <x:v>No close exact direct video verified.</x:v>
      </x:c>
    </x:row>
    <x:row r="67" ht="88" customHeight="1">
      <x:c r="A67" s="41" t="str">
        <x:v>Day 6</x:v>
      </x:c>
      <x:c r="B67" s="41" t="str">
        <x:v>Breakfast</x:v>
      </x:c>
      <x:c r="C67" s="41" t="str">
        <x:v>Oats 37 g
Low-fat milk 300 ml
Whole eggs 2
SEPARATE SEED SIDE:
Chia seeds 5 g
Hemp hearts 5 g
Pumpkin seeds 5 g
No added salt; no onion/garlic in this milk-containing meal
Do not mix seeds into the milk/oats</x:v>
      </x:c>
      <x:c r="D67" s="41" t="n">
        <x:v>1</x:v>
      </x:c>
      <x:c r="E67" s="41" t="str">
        <x:v>Warm Oats + Eggs + Separate Seed Side</x:v>
      </x:c>
      <x:c r="F67" s="41" t="str">
        <x:v>Recommended cooked</x:v>
      </x:c>
      <x:c r="G67" s="41" t="str">
        <x:v>Pan + cup</x:v>
      </x:c>
      <x:c r="H67" s="41" t="str">
        <x:v>6–8 min</x:v>
      </x:c>
      <x:c r="I67" s="41" t="str">
        <x:v>6–10 min</x:v>
      </x:c>
      <x:c r="J67" s="41" t="str">
        <x:v>Yes</x:v>
      </x:c>
      <x:c r="K67" s="41" t="str">
        <x:v>Cook the listed oats/ragi with milk. Cook or use batch-prepared eggs/egg whites separately. Eat the measured seed mix from a separate small bowl/container; do not stir it into the milk/grain meal.</x:v>
      </x:c>
      <x:c r="L67" s="41" t="str">
        <x:v>Recommended default; seed rotation adds variety without changing the rest of the day.</x:v>
      </x:c>
      <x:c r="M67" s="10" t="str">
        <x:v>https://www.youtube.com/results?search_query=Indian+oats+egg+breakfast+recipe</x:v>
      </x:c>
      <x:c r="N67" s="10" t="str">
        <x:v>YouTube search fallback</x:v>
      </x:c>
      <x:c r="O67" s="10" t="str">
        <x:v>No close exact direct video verified; use only as a technique reference.</x:v>
      </x:c>
    </x:row>
    <x:row r="68" ht="88" customHeight="1">
      <x:c r="A68" s="41" t="str">
        <x:v>Day 6</x:v>
      </x:c>
      <x:c r="B68" s="41" t="str">
        <x:v>Breakfast</x:v>
      </x:c>
      <x:c r="C68" s="41" t="str">
        <x:v>Ragi flour 25 g
Moong dal (dry) 25 g
Low-fat milk 275 ml
Whole eggs 1
Egg whites 50 g
Cooking oil 2 g
SEPARATE SEED SIDE:
Chia seeds 5 g
Hemp hearts 5 g
Pumpkin seeds 5 g
No added salt; no onion/garlic because milk is part of this breakfast</x:v>
      </x:c>
      <x:c r="D68" s="41" t="n">
        <x:v>2</x:v>
      </x:c>
      <x:c r="E68" s="41" t="str">
        <x:v>Unsalted Ragi-Moong Chilla + Milk + Egg</x:v>
      </x:c>
      <x:c r="F68" s="41" t="str">
        <x:v>Indian cooked variety</x:v>
      </x:c>
      <x:c r="G68" s="41" t="str">
        <x:v>Nonstick pan + cup</x:v>
      </x:c>
      <x:c r="H68" s="41" t="str">
        <x:v>5–7 min</x:v>
      </x:c>
      <x:c r="I68" s="41" t="str">
        <x:v>6–10 min</x:v>
      </x:c>
      <x:c r="J68" s="41" t="str">
        <x:v>Partial</x:v>
      </x:c>
      <x:c r="K68" s="41" t="str">
        <x:v>Use soaked/batch-ground moong with ragi and permitted salt-free spices to make thin chillas with exactly 2 g oil. Serve milk, egg/egg whites and the seed side separately. No added salt/onion/garlic.</x:v>
      </x:c>
      <x:c r="L68" s="41" t="str">
        <x:v>Higher variety; batter can be prepared in advance.</x:v>
      </x:c>
      <x:c r="M68" s="10" t="str">
        <x:v>https://www.youtube.com/watch?v=6JXC5N9hF6k</x:v>
      </x:c>
      <x:c r="N68" s="10" t="str">
        <x:v>Direct reference</x:v>
      </x:c>
      <x:c r="O68" s="10" t="str">
        <x:v>Hebbars Kitchen — Moong Dal Chilla</x:v>
      </x:c>
    </x:row>
    <x:row r="69" ht="88" customHeight="1">
      <x:c r="A69" s="41" t="str">
        <x:v>Day 6</x:v>
      </x:c>
      <x:c r="B69" s="41" t="str">
        <x:v>Breakfast</x:v>
      </x:c>
      <x:c r="C69" s="41" t="str">
        <x:v>Thick poha / flattened rice (dry) 25 g
Moong dal (dry) 20 g
Frozen sweet peas [CF] 50 g
Low-fat milk 275 ml
Whole eggs 1
Egg whites 50 g
Cooking oil 2 g
SEPARATE SEED SIDE:
Chia seeds 5 g
Hemp hearts 5 g
Pumpkin seeds 5 g
No added salt; no onion/garlic because milk is part of this breakfast</x:v>
      </x:c>
      <x:c r="D69" s="41" t="n">
        <x:v>3</x:v>
      </x:c>
      <x:c r="E69" s="41" t="str">
        <x:v>Unsalted Poha-Moong Egg Bowl + Milk</x:v>
      </x:c>
      <x:c r="F69" s="41" t="str">
        <x:v>Indian cooked variety</x:v>
      </x:c>
      <x:c r="G69" s="41" t="str">
        <x:v>Pan + cup</x:v>
      </x:c>
      <x:c r="H69" s="41" t="str">
        <x:v>6–8 min</x:v>
      </x:c>
      <x:c r="I69" s="41" t="str">
        <x:v>6–10 min</x:v>
      </x:c>
      <x:c r="J69" s="41" t="str">
        <x:v>Partial</x:v>
      </x:c>
      <x:c r="K69" s="41" t="str">
        <x:v>Soften poha, fold in cooked moong and peas, and heat with permitted salt-free spices using exactly 2 g oil. Serve milk and eggs separately. Eat the seed mix separately. No added salt/onion/garlic.</x:v>
      </x:c>
      <x:c r="L69" s="41" t="str">
        <x:v>Different grain/texture from oats and ragi.</x:v>
      </x:c>
      <x:c r="M69" s="10" t="str">
        <x:v>https://www.youtube.com/watch?v=qaEo1czH9sw</x:v>
      </x:c>
      <x:c r="N69" s="10" t="str">
        <x:v>Direct reference</x:v>
      </x:c>
      <x:c r="O69" s="10" t="str">
        <x:v>Hebbars Kitchen — Poha Recipe</x:v>
      </x:c>
    </x:row>
    <x:row r="70" ht="88" customHeight="1">
      <x:c r="A70" s="41" t="str">
        <x:v>Day 6</x:v>
      </x:c>
      <x:c r="B70" s="41" t="str">
        <x:v>Breakfast</x:v>
      </x:c>
      <x:c r="C70" s="41" t="str">
        <x:v>Ready-to-eat / steam-processed ragi flakes 20 g
Thick poha / flattened rice 30 g
Low-fat milk 300 ml
Whole eggs 2
SEPARATE SEED SIDE:
Chia seeds 5 g
Hemp hearts 5 g
Pumpkin seeds 5 g
No added salt; no onion/garlic
Use RTE/steam-processed ragi flakes only — not raw ragi flour</x:v>
      </x:c>
      <x:c r="D70" s="41" t="n">
        <x:v>4</x:v>
      </x:c>
      <x:c r="E70" s="41" t="str">
        <x:v>Overnight No-Cook Breakfast Jar + Pre-Cooked Eggs</x:v>
      </x:c>
      <x:c r="F70" s="41" t="str">
        <x:v>NO-COOK MORNING</x:v>
      </x:c>
      <x:c r="G70" s="41" t="str">
        <x:v>Jar / refrigerator</x:v>
      </x:c>
      <x:c r="H70" s="41" t="str">
        <x:v>0 min morning</x:v>
      </x:c>
      <x:c r="I70" s="41" t="str">
        <x:v>0</x:v>
      </x:c>
      <x:c r="J70" s="41" t="str">
        <x:v>Yes</x:v>
      </x:c>
      <x:c r="K70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70" s="41" t="str">
        <x:v>Zero-cook morning option; seeds stay separate.</x:v>
      </x:c>
      <x:c r="M70" s="10" t="str">
        <x:v>https://www.youtube.com/watch?v=NeBf5ewmI0A</x:v>
      </x:c>
      <x:c r="N70" s="10" t="str">
        <x:v>Direct reference</x:v>
      </x:c>
      <x:c r="O70" s="10" t="str">
        <x:v>Clean &amp; Delicious — Overnight Oats 6 Ways</x:v>
      </x:c>
    </x:row>
    <x:row r="71" ht="88" customHeight="1">
      <x:c r="A71" s="41" t="str">
        <x:v>Day 6</x:v>
      </x:c>
      <x:c r="B71" s="41" t="str">
        <x:v>Mid-morning fruit</x:v>
      </x:c>
      <x:c r="C71" s="41" t="str">
        <x:v>Kiwi [CF] 150 g
Eat alone; ≥2 h after breakfast and ≥2 h before lunch</x:v>
      </x:c>
      <x:c r="D71" s="41" t="n">
        <x:v>1</x:v>
      </x:c>
      <x:c r="E71" s="41" t="str">
        <x:v>Plain Kiwi</x:v>
      </x:c>
      <x:c r="F71" s="41" t="str">
        <x:v>Fresh</x:v>
      </x:c>
      <x:c r="G71" s="41" t="str">
        <x:v>None</x:v>
      </x:c>
      <x:c r="H71" s="41" t="str">
        <x:v>2 min</x:v>
      </x:c>
      <x:c r="I71" s="41" t="str">
        <x:v>0</x:v>
      </x:c>
      <x:c r="J71" s="41" t="str">
        <x:v>No</x:v>
      </x:c>
      <x:c r="K71" s="41" t="str">
        <x:v>Prepare the measured kiwi and eat it by itself.</x:v>
      </x:c>
      <x:c r="L71" s="41" t="str">
        <x:v>Fruit remains literally alone; no dairy or seasonings.</x:v>
      </x:c>
      <x:c r="M71" s="10" t="str"/>
      <x:c r="N71" s="10" t="str">
        <x:v>Not needed</x:v>
      </x:c>
      <x:c r="O71" s="10" t="str">
        <x:v>Fresh fruit is eaten alone; no recipe video needed.</x:v>
      </x:c>
    </x:row>
    <x:row r="72" ht="88" customHeight="1">
      <x:c r="A72" s="41" t="str">
        <x:v>Day 6</x:v>
      </x:c>
      <x:c r="B72" s="41" t="str">
        <x:v>Mid-morning fruit</x:v>
      </x:c>
      <x:c r="C72" s="41" t="str">
        <x:v>Kiwi [CF] 150 g
Eat alone; ≥2 h after breakfast and ≥2 h before lunch</x:v>
      </x:c>
      <x:c r="D72" s="41" t="n">
        <x:v>2</x:v>
      </x:c>
      <x:c r="E72" s="41" t="str">
        <x:v>Chilled Kiwi</x:v>
      </x:c>
      <x:c r="F72" s="41" t="str">
        <x:v>Fresh</x:v>
      </x:c>
      <x:c r="G72" s="41" t="str">
        <x:v>None</x:v>
      </x:c>
      <x:c r="H72" s="41" t="str">
        <x:v>2 min</x:v>
      </x:c>
      <x:c r="I72" s="41" t="str">
        <x:v>0</x:v>
      </x:c>
      <x:c r="J72" s="41" t="str">
        <x:v>No</x:v>
      </x:c>
      <x:c r="K72" s="41" t="str">
        <x:v>Chill the measured kiwi and eat it by itself; do not add seasonings or other foods.</x:v>
      </x:c>
      <x:c r="L72" s="41" t="str">
        <x:v>Fruit remains literally alone; no dairy or seasonings.</x:v>
      </x:c>
      <x:c r="M72" s="10" t="str"/>
      <x:c r="N72" s="10" t="str">
        <x:v>Not needed</x:v>
      </x:c>
      <x:c r="O72" s="10" t="str">
        <x:v>Fresh fruit is eaten alone; no recipe video needed.</x:v>
      </x:c>
    </x:row>
    <x:row r="73" ht="88" customHeight="1">
      <x:c r="A73" s="41" t="str">
        <x:v>Day 6</x:v>
      </x:c>
      <x:c r="B73" s="41" t="str">
        <x:v>Mid-morning fruit</x:v>
      </x:c>
      <x:c r="C73" s="41" t="str">
        <x:v>Kiwi [CF] 150 g
Eat alone; ≥2 h after breakfast and ≥2 h before lunch</x:v>
      </x:c>
      <x:c r="D73" s="41" t="n">
        <x:v>3</x:v>
      </x:c>
      <x:c r="E73" s="41" t="str">
        <x:v>Kiwi - Alternate Cut</x:v>
      </x:c>
      <x:c r="F73" s="41" t="str">
        <x:v>Fresh</x:v>
      </x:c>
      <x:c r="G73" s="41" t="str">
        <x:v>None</x:v>
      </x:c>
      <x:c r="H73" s="41" t="str">
        <x:v>2 min</x:v>
      </x:c>
      <x:c r="I73" s="41" t="str">
        <x:v>0</x:v>
      </x:c>
      <x:c r="J73" s="41" t="str">
        <x:v>No</x:v>
      </x:c>
      <x:c r="K73" s="41" t="str">
        <x:v>Slice, dice, or lightly mash the measured kiwi for a different texture; eat it by itself.</x:v>
      </x:c>
      <x:c r="L73" s="41" t="str">
        <x:v>Fruit remains literally alone; no dairy or seasonings.</x:v>
      </x:c>
      <x:c r="M73" s="10" t="str"/>
      <x:c r="N73" s="10" t="str">
        <x:v>Not needed</x:v>
      </x:c>
      <x:c r="O73" s="10" t="str">
        <x:v>Fresh fruit is eaten alone; no recipe video needed.</x:v>
      </x:c>
    </x:row>
    <x:row r="74" ht="88" customHeight="1">
      <x:c r="A74" s="41" t="str">
        <x:v>Day 6</x:v>
      </x:c>
      <x:c r="B74" s="41" t="str">
        <x:v>Lunch</x:v>
      </x:c>
      <x:c r="C74" s="41" t="str">
        <x:v>Chicken breast 100 g
Chickpeas (dry) 40 g
Rice (dry) 30 g
Cabbage [CF] 150 g
Cauliflower [CF] 150 g
Onion [CF] 50 g
Sesame seeds 10 g
Cooking oil 2 g
No milk/curd/yogurt</x:v>
      </x:c>
      <x:c r="D74" s="41" t="n">
        <x:v>1</x:v>
      </x:c>
      <x:c r="E74" s="41" t="str">
        <x:v>Chicken Chana Pulao</x:v>
      </x:c>
      <x:c r="F74" s="41" t="str">
        <x:v>Indian</x:v>
      </x:c>
      <x:c r="G74" s="41" t="str">
        <x:v>Instant Pot</x:v>
      </x:c>
      <x:c r="H74" s="41" t="str">
        <x:v>8 min</x:v>
      </x:c>
      <x:c r="I74" s="41" t="str">
        <x:v>12 min</x:v>
      </x:c>
      <x:c r="J74" s="41" t="str">
        <x:v>Yes</x:v>
      </x:c>
      <x:c r="K74" s="41" t="str">
        <x:v>Use batch-cooked chickpeas. Combine chicken, rice, cabbage, cauliflower, onion and chickpeas with spices and listed oil; pressure-cook. Finish with sesame.</x:v>
      </x:c>
      <x:c r="L74" s="41" t="str">
        <x:v>Recommended — One-pot best choice</x:v>
      </x:c>
      <x:c r="M74" s="10" t="str">
        <x:v>https://www.youtube.com/watch?v=eNLOiM6orQU</x:v>
      </x:c>
      <x:c r="N74" s="10" t="str">
        <x:v>Direct reference</x:v>
      </x:c>
      <x:c r="O74" s="10" t="str">
        <x:v>Masala TV — Chicken Vegetable Pulao</x:v>
      </x:c>
    </x:row>
    <x:row r="75" ht="88" customHeight="1">
      <x:c r="A75" s="41" t="str">
        <x:v>Day 6</x:v>
      </x:c>
      <x:c r="B75" s="41" t="str">
        <x:v>Lunch</x:v>
      </x:c>
      <x:c r="C75" s="41" t="str">
        <x:v>Chicken breast 100 g
Chickpeas (dry) 40 g
Rice (dry) 30 g
Cabbage [CF] 150 g
Cauliflower [CF] 150 g
Onion [CF] 50 g
Sesame seeds 10 g
Cooking oil 2 g
No milk/curd/yogurt</x:v>
      </x:c>
      <x:c r="D75" s="41" t="n">
        <x:v>2</x:v>
      </x:c>
      <x:c r="E75" s="41" t="str">
        <x:v>Chicken-Chickpea Vegetable Curry + Rice</x:v>
      </x:c>
      <x:c r="F75" s="41" t="str">
        <x:v>Indian</x:v>
      </x:c>
      <x:c r="G75" s="41" t="str">
        <x:v>Instant Pot + pan</x:v>
      </x:c>
      <x:c r="H75" s="41" t="str">
        <x:v>8 min</x:v>
      </x:c>
      <x:c r="I75" s="41" t="str">
        <x:v>10–12 min</x:v>
      </x:c>
      <x:c r="J75" s="41" t="str">
        <x:v>Yes</x:v>
      </x:c>
      <x:c r="K75" s="41" t="str">
        <x:v>Cook chickpeas and vegetables into a curry; add quick-cooked chicken. Serve with rice and sesame.</x:v>
      </x:c>
      <x:c r="L75" s="41" t="str">
        <x:v>Easy batch curry</x:v>
      </x:c>
      <x:c r="M75" s="10" t="str">
        <x:v>https://www.youtube.com/watch?v=-y6oxc-Dwrc</x:v>
      </x:c>
      <x:c r="N75" s="10" t="str">
        <x:v>Direct reference</x:v>
      </x:c>
      <x:c r="O75" s="10" t="str">
        <x:v>Grandma's Indian Kitchen — Chicken &amp; Chickpea Curry</x:v>
      </x:c>
    </x:row>
    <x:row r="76" ht="88" customHeight="1">
      <x:c r="A76" s="41" t="str">
        <x:v>Day 6</x:v>
      </x:c>
      <x:c r="B76" s="41" t="str">
        <x:v>Lunch</x:v>
      </x:c>
      <x:c r="C76" s="41" t="str">
        <x:v>Chicken breast 100 g
Chickpeas (dry) 40 g
Rice (dry) 30 g
Cabbage [CF] 150 g
Cauliflower [CF] 150 g
Onion [CF] 50 g
Sesame seeds 10 g
Cooking oil 2 g
No milk/curd/yogurt</x:v>
      </x:c>
      <x:c r="D76" s="41" t="n">
        <x:v>3</x:v>
      </x:c>
      <x:c r="E76" s="41" t="str">
        <x:v>Sesame Chicken Chana Bowl</x:v>
      </x:c>
      <x:c r="F76" s="41" t="str">
        <x:v>Indian-inspired</x:v>
      </x:c>
      <x:c r="G76" s="41" t="str">
        <x:v>Pan + batch rice</x:v>
      </x:c>
      <x:c r="H76" s="41" t="str">
        <x:v>8 min</x:v>
      </x:c>
      <x:c r="I76" s="41" t="str">
        <x:v>10 min</x:v>
      </x:c>
      <x:c r="J76" s="41" t="str">
        <x:v>Yes</x:v>
      </x:c>
      <x:c r="K76" s="41" t="str">
        <x:v>Lightly cook chicken and vegetables; add cooked chickpeas. Serve over rice and top with sesame.</x:v>
      </x:c>
      <x:c r="L76" s="41" t="str">
        <x:v>Fastest with prepared components</x:v>
      </x:c>
      <x:c r="M76" s="10" t="str">
        <x:v>https://www.youtube.com/watch?v=-y6oxc-Dwrc</x:v>
      </x:c>
      <x:c r="N76" s="10" t="str">
        <x:v>Direct reference</x:v>
      </x:c>
      <x:c r="O76" s="10" t="str">
        <x:v>Grandma's Indian Kitchen — Chicken &amp; Chickpea Curry</x:v>
      </x:c>
    </x:row>
    <x:row r="77" ht="88" customHeight="1">
      <x:c r="A77" s="41" t="str">
        <x:v>Day 6</x:v>
      </x:c>
      <x:c r="B77" s="41" t="str">
        <x:v>Dinner</x:v>
      </x:c>
      <x:c r="C77" s="41" t="str">
        <x:v>Ocean perch fillet 160 g
Moong dal (dry) 35 g
Ragi flour 45 g
Asparagus [CF] 120 g
Mushrooms [CF] 150 g
Carrots [CF] 100 g
Sesame seeds 15 g
Cooking oil 2 g
No milk/curd/yogurt</x:v>
      </x:c>
      <x:c r="D77" s="41" t="n">
        <x:v>1</x:v>
      </x:c>
      <x:c r="E77" s="41" t="str">
        <x:v>Masala Ocean Perch + Ragi Mudde + Moong Vegetables</x:v>
      </x:c>
      <x:c r="F77" s="41" t="str">
        <x:v>South Indian</x:v>
      </x:c>
      <x:c r="G77" s="41" t="str">
        <x:v>Air fryer/pan + Instant Pot</x:v>
      </x:c>
      <x:c r="H77" s="41" t="str">
        <x:v>10 min</x:v>
      </x:c>
      <x:c r="I77" s="41" t="str">
        <x:v>10–12 min</x:v>
      </x:c>
      <x:c r="J77" s="41" t="str">
        <x:v>Partial</x:v>
      </x:c>
      <x:c r="K77" s="41" t="str">
        <x:v>Air-fry or pan-cook perch with turmeric, cumin, coriander, ginger and lemon—no dairy. Serve with ragi mudde and moong vegetables; sesame on top.</x:v>
      </x:c>
      <x:c r="L77" s="41" t="str">
        <x:v>Recommended — Best texture</x:v>
      </x:c>
      <x:c r="M77" s="10" t="str">
        <x:v>https://www.youtube.com/watch?v=v-rV4yh75Fs</x:v>
      </x:c>
      <x:c r="N77" s="10" t="str">
        <x:v>Direct reference</x:v>
      </x:c>
      <x:c r="O77" s="10" t="str">
        <x:v>Good Food Recipes — Indian-style Ocean Perch / Fish Fry</x:v>
      </x:c>
    </x:row>
    <x:row r="78" ht="88" customHeight="1">
      <x:c r="A78" s="41" t="str">
        <x:v>Day 6</x:v>
      </x:c>
      <x:c r="B78" s="41" t="str">
        <x:v>Dinner</x:v>
      </x:c>
      <x:c r="C78" s="41" t="str">
        <x:v>Ocean perch fillet 160 g
Moong dal (dry) 35 g
Ragi flour 45 g
Asparagus [CF] 120 g
Mushrooms [CF] 150 g
Carrots [CF] 100 g
Sesame seeds 15 g
Cooking oil 2 g
No milk/curd/yogurt</x:v>
      </x:c>
      <x:c r="D78" s="41" t="n">
        <x:v>2</x:v>
      </x:c>
      <x:c r="E78" s="41" t="str">
        <x:v>Ocean Perch Moong Curry + Ragi Porridge</x:v>
      </x:c>
      <x:c r="F78" s="41" t="str">
        <x:v>Indian</x:v>
      </x:c>
      <x:c r="G78" s="41" t="str">
        <x:v>Pan + stove</x:v>
      </x:c>
      <x:c r="H78" s="41" t="str">
        <x:v>8 min</x:v>
      </x:c>
      <x:c r="I78" s="41" t="str">
        <x:v>12 min</x:v>
      </x:c>
      <x:c r="J78" s="41" t="str">
        <x:v>Partial</x:v>
      </x:c>
      <x:c r="K78" s="41" t="str">
        <x:v>Cook moong with vegetables and spices; gently poach perch near the end. Serve with savory ragi porridge and sesame.</x:v>
      </x:c>
      <x:c r="L78" s="41" t="str">
        <x:v>One curry + one starch</x:v>
      </x:c>
      <x:c r="M78" s="10" t="str">
        <x:v>https://www.youtube.com/watch?v=v-rV4yh75Fs</x:v>
      </x:c>
      <x:c r="N78" s="10" t="str">
        <x:v>Direct reference</x:v>
      </x:c>
      <x:c r="O78" s="10" t="str">
        <x:v>Good Food Recipes — Indian-style Ocean Perch / Fish Fry</x:v>
      </x:c>
    </x:row>
    <x:row r="79" ht="88" customHeight="1">
      <x:c r="A79" s="41" t="str">
        <x:v>Day 6</x:v>
      </x:c>
      <x:c r="B79" s="41" t="str">
        <x:v>Dinner</x:v>
      </x:c>
      <x:c r="C79" s="41" t="str">
        <x:v>Ocean perch fillet 160 g
Moong dal (dry) 35 g
Ragi flour 45 g
Asparagus [CF] 120 g
Mushrooms [CF] 150 g
Carrots [CF] 100 g
Sesame seeds 15 g
Cooking oil 2 g
No milk/curd/yogurt</x:v>
      </x:c>
      <x:c r="D79" s="41" t="n">
        <x:v>3</x:v>
      </x:c>
      <x:c r="E79" s="41" t="str">
        <x:v>Ragi Chilla + Pepper Perch Bowl</x:v>
      </x:c>
      <x:c r="F79" s="41" t="str">
        <x:v>Indian</x:v>
      </x:c>
      <x:c r="G79" s="41" t="str">
        <x:v>Nonstick pan + air fryer</x:v>
      </x:c>
      <x:c r="H79" s="41" t="str">
        <x:v>10 min</x:v>
      </x:c>
      <x:c r="I79" s="41" t="str">
        <x:v>10 min</x:v>
      </x:c>
      <x:c r="J79" s="41" t="str">
        <x:v>Partial</x:v>
      </x:c>
      <x:c r="K79" s="41" t="str">
        <x:v>Make ragi chillas without extra oil. Air-fry/pan-cook pepper-spiced perch; serve moong/vegetables and sesame alongside.</x:v>
      </x:c>
      <x:c r="L79" s="41" t="str">
        <x:v>More variety</x:v>
      </x:c>
      <x:c r="M79" s="10" t="str">
        <x:v>https://www.youtube.com/results?search_query=Ragi+Chilla+%2B+Pepper+Perch+Bowl+recipe</x:v>
      </x:c>
      <x:c r="N79" s="10" t="str">
        <x:v>YouTube search fallback</x:v>
      </x:c>
      <x:c r="O79" s="10" t="str">
        <x:v>Closest search only; exact recipe not verified.</x:v>
      </x:c>
    </x:row>
    <x:row r="80" ht="88" customHeight="1">
      <x:c r="A80" s="41" t="str">
        <x:v>Day 7</x:v>
      </x:c>
      <x:c r="B80" s="41" t="str">
        <x:v>Breakfast</x:v>
      </x:c>
      <x:c r="C80" s="41" t="str">
        <x:v>Oats 38 g
Low-fat milk 300 ml
Whole eggs 1
Egg whites 100 g
SEPARATE SEED SIDE:
Ground flaxseed 5 g
Chia seeds 5 g
Sunflower seeds 5 g
No added salt; no onion/garlic in this milk-containing meal
Do not mix seeds into the milk/oats</x:v>
      </x:c>
      <x:c r="D80" s="41" t="n">
        <x:v>1</x:v>
      </x:c>
      <x:c r="E80" s="41" t="str">
        <x:v>Warm Oats + Eggs + Separate Seed Side</x:v>
      </x:c>
      <x:c r="F80" s="41" t="str">
        <x:v>Recommended cooked</x:v>
      </x:c>
      <x:c r="G80" s="41" t="str">
        <x:v>Pan + cup</x:v>
      </x:c>
      <x:c r="H80" s="41" t="str">
        <x:v>6–8 min</x:v>
      </x:c>
      <x:c r="I80" s="41" t="str">
        <x:v>6–10 min</x:v>
      </x:c>
      <x:c r="J80" s="41" t="str">
        <x:v>Yes</x:v>
      </x:c>
      <x:c r="K80" s="41" t="str">
        <x:v>Cook the listed oats/ragi with milk. Cook or use batch-prepared eggs/egg whites separately. Eat the measured seed mix from a separate small bowl/container; do not stir it into the milk/grain meal.</x:v>
      </x:c>
      <x:c r="L80" s="41" t="str">
        <x:v>Recommended default; seed rotation adds variety without changing the rest of the day.</x:v>
      </x:c>
      <x:c r="M80" s="10" t="str">
        <x:v>https://www.youtube.com/results?search_query=Indian+oats+egg+breakfast+recipe</x:v>
      </x:c>
      <x:c r="N80" s="10" t="str">
        <x:v>YouTube search fallback</x:v>
      </x:c>
      <x:c r="O80" s="10" t="str">
        <x:v>No close exact direct video verified; use only as a technique reference.</x:v>
      </x:c>
    </x:row>
    <x:row r="81" ht="88" customHeight="1">
      <x:c r="A81" s="41" t="str">
        <x:v>Day 7</x:v>
      </x:c>
      <x:c r="B81" s="41" t="str">
        <x:v>Breakfast</x:v>
      </x:c>
      <x:c r="C81" s="41" t="str">
        <x:v>Ragi flour 25 g
Moong dal (dry) 25 g
Low-fat milk 275 ml
Whole eggs 1
Egg whites 50 g
Cooking oil 2 g
SEPARATE SEED SIDE:
Ground flaxseed 5 g
Chia seeds 5 g
Sunflower seeds 5 g
No added salt; no onion/garlic because milk is part of this breakfast</x:v>
      </x:c>
      <x:c r="D81" s="41" t="n">
        <x:v>2</x:v>
      </x:c>
      <x:c r="E81" s="41" t="str">
        <x:v>Unsalted Ragi-Moong Chilla + Milk + Egg</x:v>
      </x:c>
      <x:c r="F81" s="41" t="str">
        <x:v>Indian cooked variety</x:v>
      </x:c>
      <x:c r="G81" s="41" t="str">
        <x:v>Nonstick pan + cup</x:v>
      </x:c>
      <x:c r="H81" s="41" t="str">
        <x:v>5–7 min</x:v>
      </x:c>
      <x:c r="I81" s="41" t="str">
        <x:v>6–10 min</x:v>
      </x:c>
      <x:c r="J81" s="41" t="str">
        <x:v>Partial</x:v>
      </x:c>
      <x:c r="K81" s="41" t="str">
        <x:v>Use soaked/batch-ground moong with ragi and permitted salt-free spices to make thin chillas with exactly 2 g oil. Serve milk, egg/egg whites and the seed side separately. No added salt/onion/garlic.</x:v>
      </x:c>
      <x:c r="L81" s="41" t="str">
        <x:v>Higher variety; batter can be prepared in advance.</x:v>
      </x:c>
      <x:c r="M81" s="10" t="str">
        <x:v>https://www.youtube.com/watch?v=6JXC5N9hF6k</x:v>
      </x:c>
      <x:c r="N81" s="10" t="str">
        <x:v>Direct reference</x:v>
      </x:c>
      <x:c r="O81" s="10" t="str">
        <x:v>Hebbars Kitchen — Moong Dal Chilla</x:v>
      </x:c>
    </x:row>
    <x:row r="82" ht="88" customHeight="1">
      <x:c r="A82" s="41" t="str">
        <x:v>Day 7</x:v>
      </x:c>
      <x:c r="B82" s="41" t="str">
        <x:v>Breakfast</x:v>
      </x:c>
      <x:c r="C82" s="41" t="str">
        <x:v>Thick poha / flattened rice (dry) 25 g
Moong dal (dry) 20 g
Frozen sweet peas [CF] 50 g
Low-fat milk 275 ml
Whole eggs 1
Egg whites 50 g
Cooking oil 2 g
SEPARATE SEED SIDE:
Ground flaxseed 5 g
Chia seeds 5 g
Sunflower seeds 5 g
No added salt; no onion/garlic because milk is part of this breakfast</x:v>
      </x:c>
      <x:c r="D82" s="41" t="n">
        <x:v>3</x:v>
      </x:c>
      <x:c r="E82" s="41" t="str">
        <x:v>Unsalted Poha-Moong Egg Bowl + Milk</x:v>
      </x:c>
      <x:c r="F82" s="41" t="str">
        <x:v>Indian cooked variety</x:v>
      </x:c>
      <x:c r="G82" s="41" t="str">
        <x:v>Pan + cup</x:v>
      </x:c>
      <x:c r="H82" s="41" t="str">
        <x:v>6–8 min</x:v>
      </x:c>
      <x:c r="I82" s="41" t="str">
        <x:v>6–10 min</x:v>
      </x:c>
      <x:c r="J82" s="41" t="str">
        <x:v>Partial</x:v>
      </x:c>
      <x:c r="K82" s="41" t="str">
        <x:v>Soften poha, fold in cooked moong and peas, and heat with permitted salt-free spices using exactly 2 g oil. Serve milk and eggs separately. Eat the seed mix separately. No added salt/onion/garlic.</x:v>
      </x:c>
      <x:c r="L82" s="41" t="str">
        <x:v>Different grain/texture from oats and ragi.</x:v>
      </x:c>
      <x:c r="M82" s="10" t="str">
        <x:v>https://www.youtube.com/watch?v=qaEo1czH9sw</x:v>
      </x:c>
      <x:c r="N82" s="10" t="str">
        <x:v>Direct reference</x:v>
      </x:c>
      <x:c r="O82" s="10" t="str">
        <x:v>Hebbars Kitchen — Poha Recipe</x:v>
      </x:c>
    </x:row>
    <x:row r="83" ht="88" customHeight="1">
      <x:c r="A83" s="41" t="str">
        <x:v>Day 7</x:v>
      </x:c>
      <x:c r="B83" s="41" t="str">
        <x:v>Breakfast</x:v>
      </x:c>
      <x:c r="C83" s="41" t="str">
        <x:v>Rolled oats 30 g
Ready-to-eat / steam-processed ragi flakes 20 g
Low-fat milk 300 ml
Whole eggs 1
Batch-cooked egg whites 100 g
SEPARATE SEED SIDE:
Ground flaxseed 5 g
Chia seeds 5 g
Sunflower seeds 5 g
No added salt; no onion/garlic
Use RTE/steam-processed ragi flakes only — not raw ragi flour</x:v>
      </x:c>
      <x:c r="D83" s="41" t="n">
        <x:v>4</x:v>
      </x:c>
      <x:c r="E83" s="41" t="str">
        <x:v>Overnight No-Cook Breakfast Jar + Pre-Cooked Eggs</x:v>
      </x:c>
      <x:c r="F83" s="41" t="str">
        <x:v>NO-COOK MORNING</x:v>
      </x:c>
      <x:c r="G83" s="41" t="str">
        <x:v>Jar / refrigerator</x:v>
      </x:c>
      <x:c r="H83" s="41" t="str">
        <x:v>0 min morning</x:v>
      </x:c>
      <x:c r="I83" s="41" t="str">
        <x:v>0</x:v>
      </x:c>
      <x:c r="J83" s="41" t="str">
        <x:v>Yes</x:v>
      </x:c>
      <x:c r="K83" s="41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L83" s="41" t="str">
        <x:v>Zero-cook morning option; seeds stay separate.</x:v>
      </x:c>
      <x:c r="M83" s="10" t="str">
        <x:v>https://www.youtube.com/watch?v=NeBf5ewmI0A</x:v>
      </x:c>
      <x:c r="N83" s="10" t="str">
        <x:v>Direct reference</x:v>
      </x:c>
      <x:c r="O83" s="10" t="str">
        <x:v>Clean &amp; Delicious — Overnight Oats 6 Ways</x:v>
      </x:c>
    </x:row>
    <x:row r="84" ht="88" customHeight="1">
      <x:c r="A84" s="41" t="str">
        <x:v>Day 7</x:v>
      </x:c>
      <x:c r="B84" s="41" t="str">
        <x:v>Mid-morning fruit</x:v>
      </x:c>
      <x:c r="C84" s="41" t="str">
        <x:v>Banana [CF] 120 g
Eat alone; ≥2 h after breakfast and ≥2 h before lunch</x:v>
      </x:c>
      <x:c r="D84" s="41" t="n">
        <x:v>1</x:v>
      </x:c>
      <x:c r="E84" s="41" t="str">
        <x:v>Plain Banana</x:v>
      </x:c>
      <x:c r="F84" s="41" t="str">
        <x:v>Fresh</x:v>
      </x:c>
      <x:c r="G84" s="41" t="str">
        <x:v>None</x:v>
      </x:c>
      <x:c r="H84" s="41" t="str">
        <x:v>1 min</x:v>
      </x:c>
      <x:c r="I84" s="41" t="str">
        <x:v>0</x:v>
      </x:c>
      <x:c r="J84" s="41" t="str">
        <x:v>No</x:v>
      </x:c>
      <x:c r="K84" s="41" t="str">
        <x:v>Prepare the measured banana and eat it by itself.</x:v>
      </x:c>
      <x:c r="L84" s="41" t="str">
        <x:v>Fruit remains literally alone; no dairy or seasonings.</x:v>
      </x:c>
      <x:c r="M84" s="10" t="str"/>
      <x:c r="N84" s="10" t="str">
        <x:v>Not needed</x:v>
      </x:c>
      <x:c r="O84" s="10" t="str">
        <x:v>Fresh fruit is eaten alone; no recipe video needed.</x:v>
      </x:c>
    </x:row>
    <x:row r="85" ht="88" customHeight="1">
      <x:c r="A85" s="41" t="str">
        <x:v>Day 7</x:v>
      </x:c>
      <x:c r="B85" s="41" t="str">
        <x:v>Mid-morning fruit</x:v>
      </x:c>
      <x:c r="C85" s="41" t="str">
        <x:v>Banana [CF] 120 g
Eat alone; ≥2 h after breakfast and ≥2 h before lunch</x:v>
      </x:c>
      <x:c r="D85" s="41" t="n">
        <x:v>2</x:v>
      </x:c>
      <x:c r="E85" s="41" t="str">
        <x:v>Chilled Banana</x:v>
      </x:c>
      <x:c r="F85" s="41" t="str">
        <x:v>Fresh</x:v>
      </x:c>
      <x:c r="G85" s="41" t="str">
        <x:v>None</x:v>
      </x:c>
      <x:c r="H85" s="41" t="str">
        <x:v>1 min</x:v>
      </x:c>
      <x:c r="I85" s="41" t="str">
        <x:v>0</x:v>
      </x:c>
      <x:c r="J85" s="41" t="str">
        <x:v>No</x:v>
      </x:c>
      <x:c r="K85" s="41" t="str">
        <x:v>Chill the measured banana and eat it by itself; do not add seasonings or other foods.</x:v>
      </x:c>
      <x:c r="L85" s="41" t="str">
        <x:v>Fruit remains literally alone; no dairy or seasonings.</x:v>
      </x:c>
      <x:c r="M85" s="10" t="str"/>
      <x:c r="N85" s="10" t="str">
        <x:v>Not needed</x:v>
      </x:c>
      <x:c r="O85" s="10" t="str">
        <x:v>Fresh fruit is eaten alone; no recipe video needed.</x:v>
      </x:c>
    </x:row>
    <x:row r="86">
      <x:c r="A86" s="10" t="str">
        <x:v>Day 7</x:v>
      </x:c>
      <x:c r="B86" s="10" t="str">
        <x:v>Mid-morning fruit</x:v>
      </x:c>
      <x:c r="C86" s="10" t="str">
        <x:v>Banana [CF] 120 g
Eat alone; ≥2 h after breakfast and ≥2 h before lunch</x:v>
      </x:c>
      <x:c r="D86" s="10" t="n">
        <x:v>3</x:v>
      </x:c>
      <x:c r="E86" s="10" t="str">
        <x:v>Banana - Alternate Cut</x:v>
      </x:c>
      <x:c r="F86" s="10" t="str">
        <x:v>Fresh</x:v>
      </x:c>
      <x:c r="G86" s="10" t="str">
        <x:v>None</x:v>
      </x:c>
      <x:c r="H86" s="10" t="str">
        <x:v>1 min</x:v>
      </x:c>
      <x:c r="I86" s="10" t="str">
        <x:v>0</x:v>
      </x:c>
      <x:c r="J86" s="10" t="str">
        <x:v>No</x:v>
      </x:c>
      <x:c r="K86" s="10" t="str">
        <x:v>Slice, dice, or lightly mash the measured banana for a different texture; eat it by itself.</x:v>
      </x:c>
      <x:c r="L86" s="10" t="str">
        <x:v>Fruit remains literally alone; no dairy or seasonings.</x:v>
      </x:c>
      <x:c r="M86" s="10" t="str"/>
      <x:c r="N86" s="10" t="str">
        <x:v>Not needed</x:v>
      </x:c>
      <x:c r="O86" s="10" t="str">
        <x:v>Fresh fruit is eaten alone; no recipe video needed.</x:v>
      </x:c>
    </x:row>
    <x:row r="87">
      <x:c r="A87" s="10" t="str">
        <x:v>Day 7</x:v>
      </x:c>
      <x:c r="B87" s="10" t="str">
        <x:v>Lunch</x:v>
      </x:c>
      <x:c r="C87" s="10" t="str">
        <x:v>Lean goat/mutton 100 g
Masoor dal (dry) 35 g
Rice (dry) 40 g
Asparagus [CF] 100 g
Cabbage [CF] 150 g
Cauliflower [CF] 100 g
Onion [CF] 50 g
Sesame seeds 10 g
Cooking oil 3 g
No milk/curd/yogurt</x:v>
      </x:c>
      <x:c r="D87" s="10" t="n">
        <x:v>1</x:v>
      </x:c>
      <x:c r="E87" s="10" t="str">
        <x:v>Instant Pot Goat-Masoor Stew</x:v>
      </x:c>
      <x:c r="F87" s="10" t="str">
        <x:v>Indian</x:v>
      </x:c>
      <x:c r="G87" s="10" t="str">
        <x:v>Instant Pot</x:v>
      </x:c>
      <x:c r="H87" s="10" t="str">
        <x:v>10 min</x:v>
      </x:c>
      <x:c r="I87" s="10" t="str">
        <x:v>25–35 min</x:v>
      </x:c>
      <x:c r="J87" s="10" t="str">
        <x:v>Yes</x:v>
      </x:c>
      <x:c r="K87" s="10" t="str">
        <x:v>Pressure-cook goat with onion, ginger, garlic and spices until tender. Add cooked masoor and vegetables and simmer; serve with rice and sesame.</x:v>
      </x:c>
      <x:c r="L87" s="10" t="str">
        <x:v>Recommended — Best batch choice</x:v>
      </x:c>
      <x:c r="M87" s="10" t="str">
        <x:v>https://www.youtube.com/watch?v=t1rfuVhnacM</x:v>
      </x:c>
      <x:c r="N87" s="10" t="str">
        <x:v>Direct reference</x:v>
      </x:c>
      <x:c r="O87" s="10" t="str">
        <x:v>Burmawala Kitchen — Masoor Dal Gosht</x:v>
      </x:c>
    </x:row>
    <x:row r="88">
      <x:c r="A88" s="10" t="str">
        <x:v>Day 7</x:v>
      </x:c>
      <x:c r="B88" s="10" t="str">
        <x:v>Lunch</x:v>
      </x:c>
      <x:c r="C88" s="10" t="str">
        <x:v>Lean goat/mutton 100 g
Masoor dal (dry) 35 g
Rice (dry) 40 g
Asparagus [CF] 100 g
Cabbage [CF] 150 g
Cauliflower [CF] 100 g
Onion [CF] 50 g
Sesame seeds 10 g
Cooking oil 3 g
No milk/curd/yogurt</x:v>
      </x:c>
      <x:c r="D88" s="10" t="n">
        <x:v>2</x:v>
      </x:c>
      <x:c r="E88" s="10" t="str">
        <x:v>Lean Goat Curry + Masoor Vegetable Rice</x:v>
      </x:c>
      <x:c r="F88" s="10" t="str">
        <x:v>Indian</x:v>
      </x:c>
      <x:c r="G88" s="10" t="str">
        <x:v>Instant Pot</x:v>
      </x:c>
      <x:c r="H88" s="10" t="str">
        <x:v>10 min</x:v>
      </x:c>
      <x:c r="I88" s="10" t="str">
        <x:v>25–35 min</x:v>
      </x:c>
      <x:c r="J88" s="10" t="str">
        <x:v>Yes</x:v>
      </x:c>
      <x:c r="K88" s="10" t="str">
        <x:v>Batch-cook lean goat curry using only listed oil. Serve measured goat with masoor, rice, vegetables and sesame.</x:v>
      </x:c>
      <x:c r="L88" s="10" t="str">
        <x:v>Best for freezing portions</x:v>
      </x:c>
      <x:c r="M88" s="10" t="str">
        <x:v>https://www.youtube.com/watch?v=t1rfuVhnacM</x:v>
      </x:c>
      <x:c r="N88" s="10" t="str">
        <x:v>Direct reference</x:v>
      </x:c>
      <x:c r="O88" s="10" t="str">
        <x:v>Burmawala Kitchen — Masoor Dal Gosht</x:v>
      </x:c>
    </x:row>
    <x:row r="89">
      <x:c r="A89" s="10" t="str">
        <x:v>Day 7</x:v>
      </x:c>
      <x:c r="B89" s="10" t="str">
        <x:v>Lunch</x:v>
      </x:c>
      <x:c r="C89" s="10" t="str">
        <x:v>Lean goat/mutton 100 g
Masoor dal (dry) 35 g
Rice (dry) 40 g
Asparagus [CF] 100 g
Cabbage [CF] 150 g
Cauliflower [CF] 100 g
Onion [CF] 50 g
Sesame seeds 10 g
Cooking oil 3 g
No milk/curd/yogurt</x:v>
      </x:c>
      <x:c r="D89" s="10" t="n">
        <x:v>3</x:v>
      </x:c>
      <x:c r="E89" s="10" t="str">
        <x:v>Goat-Masoor One-Bowl Meal</x:v>
      </x:c>
      <x:c r="F89" s="10" t="str">
        <x:v>Indian</x:v>
      </x:c>
      <x:c r="G89" s="10" t="str">
        <x:v>Instant Pot</x:v>
      </x:c>
      <x:c r="H89" s="10" t="str">
        <x:v>10 min</x:v>
      </x:c>
      <x:c r="I89" s="10" t="str">
        <x:v>30 min</x:v>
      </x:c>
      <x:c r="J89" s="10" t="str">
        <x:v>Yes</x:v>
      </x:c>
      <x:c r="K89" s="10" t="str">
        <x:v>Pressure-cook goat first; once tender, add pre-cooked masoor, vegetables and cooked rice to combine briefly. Finish with sesame.</x:v>
      </x:c>
      <x:c r="L89" s="10" t="str">
        <x:v>Lowest serving-time effort</x:v>
      </x:c>
      <x:c r="M89" s="10" t="str">
        <x:v>https://www.youtube.com/watch?v=t1rfuVhnacM</x:v>
      </x:c>
      <x:c r="N89" s="10" t="str">
        <x:v>Direct reference</x:v>
      </x:c>
      <x:c r="O89" s="10" t="str">
        <x:v>Burmawala Kitchen — Masoor Dal Gosht</x:v>
      </x:c>
    </x:row>
    <x:row r="90">
      <x:c r="A90" s="10" t="str">
        <x:v>Day 7</x:v>
      </x:c>
      <x:c r="B90" s="10" t="str">
        <x:v>Dinner</x:v>
      </x:c>
      <x:c r="C90" s="10" t="str">
        <x:v>Chicken breast 100 g
Toor dal (dry) 35 g
Rice (dry) 35 g
Cauliflower [CF] 150 g
Cabbage [CF] 150 g
Mushrooms [CF] 100 g
Frozen sweet peas [CF] 60 g
Sesame seeds 12 g
Cooking oil 3 g
No milk/curd/yogurt</x:v>
      </x:c>
      <x:c r="D90" s="10" t="n">
        <x:v>1</x:v>
      </x:c>
      <x:c r="E90" s="10" t="str">
        <x:v>Chicken-Toor Dal Khichdi</x:v>
      </x:c>
      <x:c r="F90" s="10" t="str">
        <x:v>Indian</x:v>
      </x:c>
      <x:c r="G90" s="10" t="str">
        <x:v>Instant Pot</x:v>
      </x:c>
      <x:c r="H90" s="10" t="str">
        <x:v>8 min</x:v>
      </x:c>
      <x:c r="I90" s="10" t="str">
        <x:v>12–15 min</x:v>
      </x:c>
      <x:c r="J90" s="10" t="str">
        <x:v>Yes</x:v>
      </x:c>
      <x:c r="K90" s="10" t="str">
        <x:v>Pressure-cook chicken, toor dal, rice, cauliflower, cabbage, mushrooms and peas with spices; finish with sesame.</x:v>
      </x:c>
      <x:c r="L90" s="10" t="str">
        <x:v>Recommended — One-pot favorite</x:v>
      </x:c>
      <x:c r="M90" s="10" t="str">
        <x:v>https://www.youtube.com/results?search_query=chicken+toor+dal+recipe</x:v>
      </x:c>
      <x:c r="N90" s="10" t="str">
        <x:v>YouTube search fallback</x:v>
      </x:c>
      <x:c r="O90" s="10" t="str">
        <x:v>No close exact direct video verified.</x:v>
      </x:c>
    </x:row>
    <x:row r="91">
      <x:c r="A91" s="10" t="str">
        <x:v>Day 7</x:v>
      </x:c>
      <x:c r="B91" s="10" t="str">
        <x:v>Dinner</x:v>
      </x:c>
      <x:c r="C91" s="10" t="str">
        <x:v>Chicken breast 100 g
Toor dal (dry) 35 g
Rice (dry) 35 g
Cauliflower [CF] 150 g
Cabbage [CF] 150 g
Mushrooms [CF] 100 g
Frozen sweet peas [CF] 60 g
Sesame seeds 12 g
Cooking oil 3 g
No milk/curd/yogurt</x:v>
      </x:c>
      <x:c r="D91" s="10" t="n">
        <x:v>2</x:v>
      </x:c>
      <x:c r="E91" s="10" t="str">
        <x:v>Chicken Vegetable Toor Dal + Rice</x:v>
      </x:c>
      <x:c r="F91" s="10" t="str">
        <x:v>South Indian-inspired</x:v>
      </x:c>
      <x:c r="G91" s="10" t="str">
        <x:v>Instant Pot</x:v>
      </x:c>
      <x:c r="H91" s="10" t="str">
        <x:v>8 min</x:v>
      </x:c>
      <x:c r="I91" s="10" t="str">
        <x:v>15 min</x:v>
      </x:c>
      <x:c r="J91" s="10" t="str">
        <x:v>Yes</x:v>
      </x:c>
      <x:c r="K91" s="10" t="str">
        <x:v>Cook toor dal with cauliflower, cabbage, mushrooms and peas using turmeric, cumin, coriander, mustard seeds, curry leaves, chili and hing; add cooked chicken. Serve with rice and sesame. No curd.</x:v>
      </x:c>
      <x:c r="L91" s="10" t="str">
        <x:v>Good batch dish</x:v>
      </x:c>
      <x:c r="M91" s="10" t="str">
        <x:v>https://www.youtube.com/results?search_query=chicken+toor+dal+recipe</x:v>
      </x:c>
      <x:c r="N91" s="10" t="str">
        <x:v>YouTube search fallback</x:v>
      </x:c>
      <x:c r="O91" s="10" t="str">
        <x:v>No close exact direct video verified.</x:v>
      </x:c>
    </x:row>
    <x:row r="92">
      <x:c r="A92" s="10" t="str">
        <x:v>Day 7</x:v>
      </x:c>
      <x:c r="B92" s="10" t="str">
        <x:v>Dinner</x:v>
      </x:c>
      <x:c r="C92" s="10" t="str">
        <x:v>Chicken breast 100 g
Toor dal (dry) 35 g
Rice (dry) 35 g
Cauliflower [CF] 150 g
Cabbage [CF] 150 g
Mushrooms [CF] 100 g
Frozen sweet peas [CF] 60 g
Sesame seeds 12 g
Cooking oil 3 g
No milk/curd/yogurt</x:v>
      </x:c>
      <x:c r="D92" s="10" t="n">
        <x:v>3</x:v>
      </x:c>
      <x:c r="E92" s="10" t="str">
        <x:v>Pepper Chicken + Toor Vegetable Rice Bowl</x:v>
      </x:c>
      <x:c r="F92" s="10" t="str">
        <x:v>South Indian-inspired</x:v>
      </x:c>
      <x:c r="G92" s="10" t="str">
        <x:v>Instant Pot + pan</x:v>
      </x:c>
      <x:c r="H92" s="10" t="str">
        <x:v>8 min</x:v>
      </x:c>
      <x:c r="I92" s="10" t="str">
        <x:v>10–12 min</x:v>
      </x:c>
      <x:c r="J92" s="10" t="str">
        <x:v>Yes</x:v>
      </x:c>
      <x:c r="K92" s="10" t="str">
        <x:v>Use batch-cooked toor dal/rice; cook chicken with pepper/cumin and vegetables using listed oil. Serve together with sesame.</x:v>
      </x:c>
      <x:c r="L92" s="10" t="str">
        <x:v>Fast with prep-day bases</x:v>
      </x:c>
      <x:c r="M92" s="10" t="str">
        <x:v>https://www.youtube.com/results?search_query=chicken+toor+dal+recipe</x:v>
      </x:c>
      <x:c r="N92" s="10" t="str">
        <x:v>YouTube search fallback</x:v>
      </x:c>
      <x:c r="O92" s="10" t="str">
        <x:v>No close exact direct video verified.</x:v>
      </x:c>
    </x:row>
  </x:sheetData>
  <x:conditionalFormatting sqref="D2:D85">
    <x:cfRule type="expression" dxfId="42" priority="1">
      <x:formula>D2=1</x:formula>
    </x:cfRule>
  </x:conditionalFormatting>
  <x:conditionalFormatting sqref="J2:J85">
    <x:cfRule type="expression" dxfId="43" priority="2">
      <x:formula>J2="Yes"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cfb937b21764b52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52" hidden="0" customWidth="1"/>
    <x:col min="3" max="3" width="24" hidden="0" customWidth="1"/>
    <x:col min="4" max="4" width="14" hidden="0" customWidth="1"/>
    <x:col min="5" max="5" width="24" hidden="0" customWidth="1"/>
    <x:col min="6" max="6" width="34" hidden="0" customWidth="1"/>
    <x:col min="7" max="7" width="34" hidden="0" customWidth="1"/>
    <x:col min="8" max="8" width="28" hidden="0" customWidth="1"/>
    <x:col min="9" max="9" width="44" hidden="0" customWidth="1"/>
  </x:cols>
  <x:sheetData>
    <x:row r="1">
      <x:c r="A1" s="87" t="str">
        <x:v>Prep Component</x:v>
      </x:c>
      <x:c r="B1" s="87" t="str">
        <x:v>Suggested Batch Method</x:v>
      </x:c>
      <x:c r="C1" s="87" t="str">
        <x:v>Equipment</x:v>
      </x:c>
      <x:c r="D1" s="87" t="str">
        <x:v>Active Time</x:v>
      </x:c>
      <x:c r="E1" s="87" t="str">
        <x:v>Batch Size / Frequency</x:v>
      </x:c>
      <x:c r="F1" s="87" t="str">
        <x:v>Cool &amp; Store</x:v>
      </x:c>
      <x:c r="G1" s="87" t="str">
        <x:v>Reheat / Finish</x:v>
      </x:c>
      <x:c r="H1" s="87" t="str">
        <x:v>Used In</x:v>
      </x:c>
      <x:c r="I1" s="87" t="str">
        <x:v>Notes</x:v>
      </x:c>
    </x:row>
    <x:row r="2" ht="62" customHeight="1">
      <x:c r="A2" s="41" t="str">
        <x:v>Rice</x:v>
      </x:c>
      <x:c r="B2" s="41" t="str">
        <x:v>Cook plain rice in bulk; portion according to dry-weight equivalents in the meal plan.</x:v>
      </x:c>
      <x:c r="C2" s="41" t="str">
        <x:v>Instant Pot / rice cooker</x:v>
      </x:c>
      <x:c r="D2" s="41" t="str">
        <x:v>5 min</x:v>
      </x:c>
      <x:c r="E2" s="41" t="str">
        <x:v>2–3 days at a time</x:v>
      </x:c>
      <x:c r="F2" s="41" t="str">
        <x:v>Cool promptly in shallow containers; refrigerate.</x:v>
      </x:c>
      <x:c r="G2" s="41" t="str">
        <x:v>Reheat only the portion needed until steaming hot.</x:v>
      </x:c>
      <x:c r="H2" s="41" t="str">
        <x:v>Most lunches/dinners</x:v>
      </x:c>
      <x:c r="I2" s="41" t="str">
        <x:v>Do not add extra oil; use the meal's listed oil separately.</x:v>
      </x:c>
    </x:row>
    <x:row r="3" ht="62" customHeight="1">
      <x:c r="A3" s="41" t="str">
        <x:v>Toor dal</x:v>
      </x:c>
      <x:c r="B3" s="41" t="str">
        <x:v>Pressure-cook plain with turmeric; add meal-specific vegetables/spices when reheating.</x:v>
      </x:c>
      <x:c r="C3" s="41" t="str">
        <x:v>Instant Pot</x:v>
      </x:c>
      <x:c r="D3" s="41" t="str">
        <x:v>5 min</x:v>
      </x:c>
      <x:c r="E3" s="41" t="str">
        <x:v>2–3 portions</x:v>
      </x:c>
      <x:c r="F3" s="41" t="str">
        <x:v>Cool promptly; refrigerate.</x:v>
      </x:c>
      <x:c r="G3" s="41" t="str">
        <x:v>Reheat with a splash of water; add vegetables/chicken as required.</x:v>
      </x:c>
      <x:c r="H3" s="41" t="str">
        <x:v>Day 1 lunch, Day 7 dinner</x:v>
      </x:c>
      <x:c r="I3" s="41" t="str">
        <x:v>Keeps recipes interchangeable.</x:v>
      </x:c>
    </x:row>
    <x:row r="4" ht="62" customHeight="1">
      <x:c r="A4" s="41" t="str">
        <x:v>Moong dal</x:v>
      </x:c>
      <x:c r="B4" s="41" t="str">
        <x:v>Pressure-cook a lightly seasoned base; keep thick enough for khichdi/stew variations.</x:v>
      </x:c>
      <x:c r="C4" s="41" t="str">
        <x:v>Instant Pot</x:v>
      </x:c>
      <x:c r="D4" s="41" t="str">
        <x:v>5 min</x:v>
      </x:c>
      <x:c r="E4" s="41" t="str">
        <x:v>3–4 portions</x:v>
      </x:c>
      <x:c r="F4" s="41" t="str">
        <x:v>Cool promptly; refrigerate.</x:v>
      </x:c>
      <x:c r="G4" s="41" t="str">
        <x:v>Thin or thicken at serving; add meal vegetables/protein.</x:v>
      </x:c>
      <x:c r="H4" s="41" t="str">
        <x:v>Days 2–6 multiple meals</x:v>
      </x:c>
      <x:c r="I4" s="41" t="str">
        <x:v>Most versatile dal in the plan.</x:v>
      </x:c>
    </x:row>
    <x:row r="5" ht="62" customHeight="1">
      <x:c r="A5" s="41" t="str">
        <x:v>Masoor dal</x:v>
      </x:c>
      <x:c r="B5" s="41" t="str">
        <x:v>Pressure-cook or simmer; leave neutral enough for goat/chicken variations.</x:v>
      </x:c>
      <x:c r="C5" s="41" t="str">
        <x:v>Instant Pot / stove</x:v>
      </x:c>
      <x:c r="D5" s="41" t="str">
        <x:v>5 min</x:v>
      </x:c>
      <x:c r="E5" s="41" t="str">
        <x:v>2–3 portions</x:v>
      </x:c>
      <x:c r="F5" s="41" t="str">
        <x:v>Cool promptly; refrigerate.</x:v>
      </x:c>
      <x:c r="G5" s="41" t="str">
        <x:v>Reheat with vegetables/spices.</x:v>
      </x:c>
      <x:c r="H5" s="41" t="str">
        <x:v>Day 5 lunch, Day 7 lunch</x:v>
      </x:c>
      <x:c r="I5" s="41" t="str">
        <x:v>Cooks quickly; good weekday base.</x:v>
      </x:c>
    </x:row>
    <x:row r="6" ht="62" customHeight="1">
      <x:c r="A6" s="41" t="str">
        <x:v>Rajma</x:v>
      </x:c>
      <x:c r="B6" s="41" t="str">
        <x:v>Soak overnight; pressure-cook fully until very soft. Store cooked beans with a little cooking liquid.</x:v>
      </x:c>
      <x:c r="C6" s="41" t="str">
        <x:v>Instant Pot</x:v>
      </x:c>
      <x:c r="D6" s="41" t="str">
        <x:v>5 min + soaking</x:v>
      </x:c>
      <x:c r="E6" s="41" t="str">
        <x:v>Cook both weekly portions together</x:v>
      </x:c>
      <x:c r="F6" s="41" t="str">
        <x:v>Cool promptly; refrigerate or freeze extra.</x:v>
      </x:c>
      <x:c r="G6" s="41" t="str">
        <x:v>Reheat thoroughly before adding to curry/pulao.</x:v>
      </x:c>
      <x:c r="H6" s="41" t="str">
        <x:v>Day 2 lunch, Day 5 dinner</x:v>
      </x:c>
      <x:c r="I6" s="41" t="str">
        <x:v>Never undercook kidney beans.</x:v>
      </x:c>
    </x:row>
    <x:row r="7" ht="62" customHeight="1">
      <x:c r="A7" s="41" t="str">
        <x:v>Chickpeas</x:v>
      </x:c>
      <x:c r="B7" s="41" t="str">
        <x:v>Soak overnight; pressure-cook fully and divide into meal portions.</x:v>
      </x:c>
      <x:c r="C7" s="41" t="str">
        <x:v>Instant Pot</x:v>
      </x:c>
      <x:c r="D7" s="41" t="str">
        <x:v>5 min + soaking</x:v>
      </x:c>
      <x:c r="E7" s="41" t="str">
        <x:v>Cook all weekly chickpeas together</x:v>
      </x:c>
      <x:c r="F7" s="41" t="str">
        <x:v>Cool promptly; refrigerate/freeze portions.</x:v>
      </x:c>
      <x:c r="G7" s="41" t="str">
        <x:v>Add to rice bowls/curries near the end.</x:v>
      </x:c>
      <x:c r="H7" s="41" t="str">
        <x:v>Day 3 dinner, Day 4 lunch, Day 6 lunch</x:v>
      </x:c>
      <x:c r="I7" s="41" t="str">
        <x:v>Freeze extra portions if not using within a few days.</x:v>
      </x:c>
    </x:row>
    <x:row r="8" ht="62" customHeight="1">
      <x:c r="A8" s="41" t="str">
        <x:v>Chicken</x:v>
      </x:c>
      <x:c r="B8" s="41" t="str">
        <x:v>Trim and portion into 100 g raw packs; optionally marinate dry with turmeric/cumin/coriander/ginger/garlic.</x:v>
      </x:c>
      <x:c r="C8" s="41" t="str">
        <x:v>Containers / freezer</x:v>
      </x:c>
      <x:c r="D8" s="41" t="str">
        <x:v>10 min</x:v>
      </x:c>
      <x:c r="E8" s="41" t="str">
        <x:v>Prepare 2–3 days or freeze individual portions</x:v>
      </x:c>
      <x:c r="F8" s="41" t="str">
        <x:v>Keep refrigerated portions cold; freeze later-week portions.</x:v>
      </x:c>
      <x:c r="G8" s="41" t="str">
        <x:v>Cook fresh or add raw to Instant Pot one-pot meals.</x:v>
      </x:c>
      <x:c r="H8" s="41" t="str">
        <x:v>Multiple lunches/dinners</x:v>
      </x:c>
      <x:c r="I8" s="41" t="str">
        <x:v>No dairy marinades; keep oil to the listed meal amount.</x:v>
      </x:c>
    </x:row>
    <x:row r="9" ht="62" customHeight="1">
      <x:c r="A9" s="41" t="str">
        <x:v>Tilapia 160 g</x:v>
      </x:c>
      <x:c r="B9" s="41" t="str">
        <x:v>Pre-portion raw fish; season just before cooking.</x:v>
      </x:c>
      <x:c r="C9" s="41" t="str">
        <x:v>Air fryer / pan</x:v>
      </x:c>
      <x:c r="D9" s="41" t="str">
        <x:v>3 min</x:v>
      </x:c>
      <x:c r="E9" s="41" t="str">
        <x:v>Single serving</x:v>
      </x:c>
      <x:c r="F9" s="41" t="str">
        <x:v>Keep cold; freeze if not used soon.</x:v>
      </x:c>
      <x:c r="G9" s="41" t="str">
        <x:v>Air-fry/pan-cook fresh ~8–10 min.</x:v>
      </x:c>
      <x:c r="H9" s="41" t="str">
        <x:v>Day 4 lunch</x:v>
      </x:c>
      <x:c r="I9" s="41" t="str">
        <x:v>Do not batch-cook several days ahead; no yogurt marinade.</x:v>
      </x:c>
    </x:row>
    <x:row r="10" ht="62" customHeight="1">
      <x:c r="A10" s="41" t="str">
        <x:v>Ocean perch 160 g</x:v>
      </x:c>
      <x:c r="B10" s="41" t="str">
        <x:v>Pre-portion raw fish; season just before cooking.</x:v>
      </x:c>
      <x:c r="C10" s="41" t="str">
        <x:v>Air fryer / pan</x:v>
      </x:c>
      <x:c r="D10" s="41" t="str">
        <x:v>3 min</x:v>
      </x:c>
      <x:c r="E10" s="41" t="str">
        <x:v>Single serving</x:v>
      </x:c>
      <x:c r="F10" s="41" t="str">
        <x:v>Keep cold; freeze if not used soon.</x:v>
      </x:c>
      <x:c r="G10" s="41" t="str">
        <x:v>Air-fry/pan-cook fresh ~8–10 min.</x:v>
      </x:c>
      <x:c r="H10" s="41" t="str">
        <x:v>Day 6 dinner</x:v>
      </x:c>
      <x:c r="I10" s="41" t="str">
        <x:v>Best texture when cooked fresh; no dairy.</x:v>
      </x:c>
    </x:row>
    <x:row r="11" ht="62" customHeight="1">
      <x:c r="A11" s="41" t="str">
        <x:v>Lean goat/mutton</x:v>
      </x:c>
      <x:c r="B11" s="41" t="str">
        <x:v>Pressure-cook 2–3 lean portions with onion/ginger/garlic/spices; portion after cooking by raw-equivalent plan amount if pre-weighed.</x:v>
      </x:c>
      <x:c r="C11" s="41" t="str">
        <x:v>Instant Pot</x:v>
      </x:c>
      <x:c r="D11" s="41" t="str">
        <x:v>10 min</x:v>
      </x:c>
      <x:c r="E11" s="41" t="str">
        <x:v>2–3 portions</x:v>
      </x:c>
      <x:c r="F11" s="41" t="str">
        <x:v>Cool promptly; refrigerate/freeze extra.</x:v>
      </x:c>
      <x:c r="G11" s="41" t="str">
        <x:v>Reheat gently with masoor/vegetables.</x:v>
      </x:c>
      <x:c r="H11" s="41" t="str">
        <x:v>Day 7 lunch</x:v>
      </x:c>
      <x:c r="I11" s="41" t="str">
        <x:v>Longest cook item, so batch preparation saves the most time.</x:v>
      </x:c>
    </x:row>
    <x:row r="12" ht="62" customHeight="1">
      <x:c r="A12" s="41" t="str">
        <x:v>Vegetables</x:v>
      </x:c>
      <x:c r="B12" s="41" t="str">
        <x:v>Wash/chop cabbage, cauliflower, carrots, asparagus, mushrooms and onion; keep in separate containers.</x:v>
      </x:c>
      <x:c r="C12" s="41" t="str">
        <x:v>Knife / containers</x:v>
      </x:c>
      <x:c r="D12" s="41" t="str">
        <x:v>20–25 min</x:v>
      </x:c>
      <x:c r="E12" s="41" t="str">
        <x:v>2–3 days</x:v>
      </x:c>
      <x:c r="F12" s="41" t="str">
        <x:v>Refrigerate promptly; keep mushrooms relatively dry.</x:v>
      </x:c>
      <x:c r="G12" s="41" t="str">
        <x:v>Steam, sauté lightly, or add to Instant Pot meals.</x:v>
      </x:c>
      <x:c r="H12" s="41" t="str">
        <x:v>Throughout week</x:v>
      </x:c>
      <x:c r="I12" s="41" t="str">
        <x:v>Pre-chopping is the biggest daily time saver.</x:v>
      </x:c>
    </x:row>
    <x:row r="13" ht="62" customHeight="1">
      <x:c r="A13" s="41" t="str">
        <x:v>Breakfast grain packs</x:v>
      </x:c>
      <x:c r="B13" s="41" t="str">
        <x:v>Pre-portion oats/ragi/poha quantities separately from the seed packs; keep raw ragi flour for cooked options only.</x:v>
      </x:c>
      <x:c r="C13" s="41" t="str">
        <x:v>Containers</x:v>
      </x:c>
      <x:c r="D13" s="41" t="str">
        <x:v>10 min</x:v>
      </x:c>
      <x:c r="E13" s="41" t="str">
        <x:v>Prepare 5–7 labeled packs</x:v>
      </x:c>
      <x:c r="F13" s="41" t="str">
        <x:v>Dry storage as appropriate.</x:v>
      </x:c>
      <x:c r="G13" s="41" t="str">
        <x:v>Add milk and cook for Options 1–3, or assemble the approved RTE flakes/poha overnight for Option 4.</x:v>
      </x:c>
      <x:c r="H13" s="41" t="str">
        <x:v>All breakfasts</x:v>
      </x:c>
      <x:c r="I13" s="41" t="str">
        <x:v>Do not put the seed mix into the grain pack if it will be mixed with milk.</x:v>
      </x:c>
    </x:row>
    <x:row r="14" ht="62" customHeight="1">
      <x:c r="A14" s="41" t="str">
        <x:v>Eggs / egg whites</x:v>
      </x:c>
      <x:c r="B14" s="41" t="str">
        <x:v>Batch-boil whole eggs and batch-cook measured egg-white portions so overnight breakfasts require no morning cooking.</x:v>
      </x:c>
      <x:c r="C14" s="41" t="str">
        <x:v>Instant Pot / stove</x:v>
      </x:c>
      <x:c r="D14" s="41" t="str">
        <x:v>5 min</x:v>
      </x:c>
      <x:c r="E14" s="41" t="str">
        <x:v>2–3 days at a time</x:v>
      </x:c>
      <x:c r="F14" s="41" t="str">
        <x:v>Refrigerate promptly.</x:v>
      </x:c>
      <x:c r="G14" s="41" t="str">
        <x:v>Eat cold or warm gently when desired; Option 4 requires no morning cooking.</x:v>
      </x:c>
      <x:c r="H14" s="41" t="str">
        <x:v>Breakfasts and egg dinners</x:v>
      </x:c>
      <x:c r="I14" s="41" t="str">
        <x:v>Keep exact option-specific egg/egg-white quantities.</x:v>
      </x:c>
    </x:row>
    <x:row r="15" ht="62" customHeight="1">
      <x:c r="A15" s="41" t="str">
        <x:v>Fruit</x:v>
      </x:c>
      <x:c r="B15" s="41" t="str">
        <x:v>Wash/portion when practical, but cut kiwi/mango/papaya close to serving for quality.</x:v>
      </x:c>
      <x:c r="C15" s="41" t="str">
        <x:v>Knife / containers</x:v>
      </x:c>
      <x:c r="D15" s="41" t="str">
        <x:v>5–10 min</x:v>
      </x:c>
      <x:c r="E15" s="41" t="str">
        <x:v>1–2 days</x:v>
      </x:c>
      <x:c r="F15" s="41" t="str">
        <x:v>Refrigerate cut fruit.</x:v>
      </x:c>
      <x:c r="G15" s="41" t="str">
        <x:v>No reheating needed.</x:v>
      </x:c>
      <x:c r="H15" s="41" t="str">
        <x:v>Every mid-morning</x:v>
      </x:c>
      <x:c r="I15" s="41" t="str">
        <x:v>Eat alone, separated from dairy and main meals per the chosen Viruddha-Ahara framework.</x:v>
      </x:c>
    </x:row>
    <x:row r="16" ht="62" customHeight="1">
      <x:c r="A16" s="41" t="str">
        <x:v>Breakfast seed packs</x:v>
      </x:c>
      <x:c r="B16" s="41" t="str">
        <x:v>Pre-portion chia, ground flax, hemp hearts, pumpkin seeds, sunflower seeds and sesame according to the daily rotation.</x:v>
      </x:c>
      <x:c r="C16" s="41" t="str">
        <x:v>Containers</x:v>
      </x:c>
      <x:c r="D16" s="41" t="str">
        <x:v>5 min</x:v>
      </x:c>
      <x:c r="E16" s="41" t="str">
        <x:v>Entire week</x:v>
      </x:c>
      <x:c r="F16" s="41" t="str">
        <x:v>Dry storage.</x:v>
      </x:c>
      <x:c r="G16" s="41" t="str">
        <x:v>Eat the measured pack separately from the milk/grain bowl.</x:v>
      </x:c>
      <x:c r="H16" s="41" t="str">
        <x:v>All breakfasts</x:v>
      </x:c>
      <x:c r="I16" s="41" t="str">
        <x:v>Pre-portioning prevents calorie creep and keeps the user-requested separate-seed rule.</x:v>
      </x:c>
    </x:row>
    <x:row r="17">
      <x:c r="A17" s="10" t="str">
        <x:v>Overnight jars</x:v>
      </x:c>
      <x:c r="B17" s="10" t="str">
        <x:v>At night add the listed oats / thick poha / RTE steam-processed ragi flakes and milk to a covered jar.</x:v>
      </x:c>
      <x:c r="C17" s="10" t="str">
        <x:v>Jar + refrigerator</x:v>
      </x:c>
      <x:c r="D17" s="10" t="str">
        <x:v>2–3 min</x:v>
      </x:c>
      <x:c r="E17" s="10" t="str">
        <x:v>Nightly</x:v>
      </x:c>
      <x:c r="F17" s="10" t="str">
        <x:v>Refrigerate immediately at ≤4°C/40°F.</x:v>
      </x:c>
      <x:c r="G17" s="10" t="str">
        <x:v>No cooking in the morning; consume within 24 hours.</x:v>
      </x:c>
      <x:c r="H17" s="10" t="str">
        <x:v>Breakfast Option 4 every day</x:v>
      </x:c>
      <x:c r="I17" s="10" t="str">
        <x:v>Never use raw ragi flour as a no-cook overnight ingredient. Seeds remain in a separate container.</x:v>
      </x:c>
    </x:row>
  </x:sheetData>
  <x:pageMargins left="0.7" right="0.7" top="0.75" bottom="0.75" header="0.3" footer="0.3"/>
  <x:tableParts count="1">
    <x:tablePart xmlns:r="http://schemas.openxmlformats.org/officeDocument/2006/relationships" r:id="R7140abe83de84761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95" hidden="0" customWidth="1"/>
  </x:cols>
  <x:sheetData>
    <x:row r="1">
      <x:c r="A1" s="86" t="str">
        <x:v>How to use this workbook</x:v>
      </x:c>
      <x:c r="B1" s="86" t="str">
        <x:v>Guidance</x:v>
      </x:c>
    </x:row>
    <x:row r="2" ht="36" customHeight="1">
      <x:c r="A2" s="10" t="str">
        <x:v>Recommended option</x:v>
      </x:c>
      <x:c r="B2" s="10" t="str">
        <x:v>Breakfast Option 1 is the base plan and remains the recommended default. Non-breakfast Option 1 remains the recommended low-effort recipe.</x:v>
      </x:c>
    </x:row>
    <x:row r="3" ht="36" customHeight="1">
      <x:c r="A3" s="10" t="str">
        <x:v>Breakfast variety</x:v>
      </x:c>
      <x:c r="B3" s="10" t="str">
        <x:v>Breakfasts now have 4 options. Options 1–3 are cooked/quick alternatives with different grain formats; Option 4 is a true no-cook-morning overnight option.</x:v>
      </x:c>
    </x:row>
    <x:row r="4" ht="36" customHeight="1">
      <x:c r="A4" s="10" t="str">
        <x:v>Interchangeability</x:v>
      </x:c>
      <x:c r="B4" s="10" t="str">
        <x:v>Breakfast options use different ingredient sets but are projected to keep daily calories 1,700–1,900 kcal, protein 110–130 g, fiber ≥38 g, calcium ≥1,000 mg, B12 ≥2.4 µg and omega-3 ≥1.6 g. Other meals retain the same-ingredient 3-option structure.</x:v>
      </x:c>
    </x:row>
    <x:row r="5" ht="36" customHeight="1">
      <x:c r="A5" s="10" t="str">
        <x:v>Seed-side rule</x:v>
      </x:c>
      <x:c r="B5" s="10" t="str">
        <x:v>Breakfast seed mixes are pre-portioned and eaten separately from the milk/grain bowl. They are not stirred into oats/ragi/poha. Chia/flax may be hydrated with water separately if preferred.</x:v>
      </x:c>
    </x:row>
    <x:row r="6" ht="36" customHeight="1">
      <x:c r="A6" s="10" t="str">
        <x:v>Overnight rule</x:v>
      </x:c>
      <x:c r="B6" s="10" t="str">
        <x:v>Option 4 is assembled the night before and requires no morning cooking. Use rolled oats, thick poha, or ready-to-eat/steam-processed ragi flakes only; do not use raw ragi flour as a no-cook ingredient. Refrigerate ≤4°C/40°F and consume within 24 hours.</x:v>
      </x:c>
    </x:row>
    <x:row r="7" ht="36" customHeight="1">
      <x:c r="A7" s="10" t="str">
        <x:v>Oil rule</x:v>
      </x:c>
      <x:c r="B7" s="10" t="str">
        <x:v>Never add oil beyond the exact quantity listed in the meal ingredients.</x:v>
      </x:c>
    </x:row>
    <x:row r="8" ht="36" customHeight="1">
      <x:c r="A8" s="10" t="str">
        <x:v>Seasonings allowed</x:v>
      </x:c>
      <x:c r="B8" s="10" t="str">
        <x:v>Salt, turmeric, cumin, coriander, mustard seeds, ginger, garlic, curry leaves, chili, pepper, hing, cilantro and lemon/lime are allowed in negligible amounts for cooked meals, subject to the milk-breakfast safeguard. No additional sweet spices are assumed.</x:v>
      </x:c>
    </x:row>
    <x:row r="9" ht="36" customHeight="1">
      <x:c r="A9" s="10" t="str">
        <x:v>Milk breakfast safeguard</x:v>
      </x:c>
      <x:c r="B9" s="10" t="str">
        <x:v>No added salt, onion or garlic in milk-containing breakfasts, including breakfast Options 2–4 where milk is served separately.</x:v>
      </x:c>
    </x:row>
    <x:row r="10" ht="36" customHeight="1">
      <x:c r="A10" s="10" t="str">
        <x:v>Fruit safeguard</x:v>
      </x:c>
      <x:c r="B10" s="10" t="str">
        <x:v>Mid-morning fruit is eaten literally by itself (no dairy, spices, seeds, or other foods) and kept separated from the milk breakfast and main meals as specified in the plan.</x:v>
      </x:c>
    </x:row>
    <x:row r="11" ht="36" customHeight="1">
      <x:c r="A11" s="10" t="str">
        <x:v>Non-veg safeguard</x:v>
      </x:c>
      <x:c r="B11" s="10" t="str">
        <x:v>Chicken, fish and goat meals contain no milk/curd/yogurt.</x:v>
      </x:c>
    </x:row>
    <x:row r="12" ht="36" customHeight="1">
      <x:c r="A12" s="10" t="str">
        <x:v>Fish</x:v>
      </x:c>
      <x:c r="B12" s="10" t="str">
        <x:v>Tilapia and ocean perch remain 160 g raw portions. Prefer cooking fish fresh rather than batch-cooking it days ahead.</x:v>
      </x:c>
    </x:row>
    <x:row r="13">
      <x:c r="A13" s="10" t="str">
        <x:v>Ragi</x:v>
      </x:c>
      <x:c r="B13" s="10" t="str">
        <x:v>Cook raw ragi flour. Only explicitly ready-to-eat/steam-processed ragi flakes are used in the no-cook overnight option.</x:v>
      </x:c>
    </x:row>
    <x:row r="14">
      <x:c r="A14" s="10" t="str">
        <x:v>Protein target</x:v>
      </x:c>
      <x:c r="B14" s="10" t="str">
        <x:v>All 28 breakfast options were screened so projected full-day protein remains approximately 110–130 g/day.</x:v>
      </x:c>
    </x:row>
    <x:row r="15">
      <x:c r="A15" s="10" t="str">
        <x:v>Batch strategy</x:v>
      </x:c>
      <x:c r="B15" s="10" t="str">
        <x:v>Batch-cook neutral bases (rice, dals, beans, goat, eggs/egg-white portions) and pre-portion seed mixes. Assemble overnight jars the evening before.</x:v>
      </x:c>
    </x:row>
    <x:row r="16">
      <x:c r="A16" s="10" t="str">
        <x:v>Approval scope</x:v>
      </x:c>
      <x:c r="B16" s="10" t="str">
        <x:v>This workbook is Version 1 for breakfast approval. Shopping list, PDF and GitHub website have not yet been updated.</x:v>
      </x:c>
    </x:row>
    <x:row r="17">
      <x:c r="A17" s="10" t="str">
        <x:v>YouTube references</x:v>
      </x:c>
      <x:c r="B17" s="10" t="str">
        <x:v>Recipe Mapping now includes a YouTube reference for each recipe row where useful. Direct videos are used when a close match was verified; otherwise a clearly labeled YouTube search fallback is provided.</x:v>
      </x:c>
    </x:row>
    <x:row r="18">
      <x:c r="A18" s="10" t="str">
        <x:v>Video override rule</x:v>
      </x:c>
      <x:c r="B18" s="10" t="str">
        <x:v>External videos are technique references only. The workbook's exact quantities, oil limits, no-dairy rules, milk-breakfast safeguard, fruit separation, and other plan constraints always override the video.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37" hidden="0" customWidth="1"/>
    <x:col min="2" max="2" width="18" hidden="0" customWidth="1"/>
    <x:col min="3" max="3" width="85" hidden="0" customWidth="1"/>
  </x:cols>
  <x:sheetData>
    <x:row r="1">
      <x:c r="A1" s="89" t="str">
        <x:v>Criterion</x:v>
      </x:c>
      <x:c r="B1" s="89" t="str">
        <x:v>Status</x:v>
      </x:c>
      <x:c r="C1" s="89" t="str">
        <x:v>Final verification / action</x:v>
      </x:c>
    </x:row>
    <x:row r="2">
      <x:c r="A2" s="10" t="str">
        <x:v>Calories 1,700–1,900 kcal/day</x:v>
      </x:c>
      <x:c r="B2" s="10" t="str">
        <x:v>PASS</x:v>
      </x:c>
      <x:c r="C2" s="10" t="str">
        <x:v>All 7 days remain within range.</x:v>
      </x:c>
    </x:row>
    <x:row r="3">
      <x:c r="A3" s="10" t="str">
        <x:v>Protein 110–130 g/day</x:v>
      </x:c>
      <x:c r="B3" s="10" t="str">
        <x:v>PASS</x:v>
      </x:c>
      <x:c r="C3" s="10" t="str">
        <x:v>All 7 days remain within range.</x:v>
      </x:c>
    </x:row>
    <x:row r="4">
      <x:c r="A4" s="10" t="str">
        <x:v>Fiber ≥38 g/day</x:v>
      </x:c>
      <x:c r="B4" s="10" t="str">
        <x:v>PASS</x:v>
      </x:c>
      <x:c r="C4" s="10" t="str">
        <x:v>All days meet target.</x:v>
      </x:c>
    </x:row>
    <x:row r="5">
      <x:c r="A5" s="10" t="str">
        <x:v>Fat 20–35% kcal</x:v>
      </x:c>
      <x:c r="B5" s="10" t="str">
        <x:v>PASS</x:v>
      </x:c>
      <x:c r="C5" s="10" t="str">
        <x:v>Planning values remain within AMDR.</x:v>
      </x:c>
    </x:row>
    <x:row r="6">
      <x:c r="A6" s="10" t="str">
        <x:v>Saturated fat &lt;10% kcal</x:v>
      </x:c>
      <x:c r="B6" s="10" t="str">
        <x:v>PASS</x:v>
      </x:c>
      <x:c r="C6" s="10" t="str">
        <x:v>Now explicitly tracked; all days are below limit in the planning model.</x:v>
      </x:c>
    </x:row>
    <x:row r="7">
      <x:c r="A7" s="10" t="str">
        <x:v>Calcium ≥1,000 mg/day</x:v>
      </x:c>
      <x:c r="B7" s="10" t="str">
        <x:v>PASS</x:v>
      </x:c>
      <x:c r="C7" s="10" t="str">
        <x:v>At/above target in final planning totals.</x:v>
      </x:c>
    </x:row>
    <x:row r="8">
      <x:c r="A8" s="10" t="str">
        <x:v>Iron ≥8 mg/day</x:v>
      </x:c>
      <x:c r="B8" s="10" t="str">
        <x:v>PASS</x:v>
      </x:c>
      <x:c r="C8" s="10" t="str">
        <x:v>All days exceed target.</x:v>
      </x:c>
    </x:row>
    <x:row r="9">
      <x:c r="A9" s="10" t="str">
        <x:v>Magnesium ≥420 mg/day</x:v>
      </x:c>
      <x:c r="B9" s="10" t="str">
        <x:v>PASS</x:v>
      </x:c>
      <x:c r="C9" s="10" t="str">
        <x:v>All days exceed target.</x:v>
      </x:c>
    </x:row>
    <x:row r="10">
      <x:c r="A10" s="10" t="str">
        <x:v>Potassium ≥3,400 mg/day</x:v>
      </x:c>
      <x:c r="B10" s="10" t="str">
        <x:v>PASS</x:v>
      </x:c>
      <x:c r="C10" s="10" t="str">
        <x:v>All days exceed target.</x:v>
      </x:c>
    </x:row>
    <x:row r="11">
      <x:c r="A11" s="10" t="str">
        <x:v>B12 ≥2.4 µg/day</x:v>
      </x:c>
      <x:c r="B11" s="10" t="str">
        <x:v>PASS</x:v>
      </x:c>
      <x:c r="C11" s="10" t="str">
        <x:v>All days exceed target.</x:v>
      </x:c>
    </x:row>
    <x:row r="12">
      <x:c r="A12" s="10" t="str">
        <x:v>Folate ≥400 µg DFE/day</x:v>
      </x:c>
      <x:c r="B12" s="10" t="str">
        <x:v>PASS</x:v>
      </x:c>
      <x:c r="C12" s="10" t="str">
        <x:v>All days exceed target.</x:v>
      </x:c>
    </x:row>
    <x:row r="13">
      <x:c r="A13" s="10" t="str">
        <x:v>Vitamin D ≥15 µg/day</x:v>
      </x:c>
      <x:c r="B13" s="10" t="str">
        <x:v>CLINICIAN GAP</x:v>
      </x:c>
      <x:c r="C13" s="10" t="str">
        <x:v>Food alone remains low on most days. Do not raise cod liver simply to correct this.</x:v>
      </x:c>
    </x:row>
    <x:row r="14">
      <x:c r="A14" s="10" t="str">
        <x:v>Omega-3 planning guide ≥1.6 g/day</x:v>
      </x:c>
      <x:c r="B14" s="10" t="str">
        <x:v>PASS</x:v>
      </x:c>
      <x:c r="C14" s="10" t="str">
        <x:v>Day 2 chia +5 g and Day 5 flax +5 g close the prior gaps; not an exact EPA/DHA measure.</x:v>
      </x:c>
    </x:row>
    <x:row r="15">
      <x:c r="A15" s="10" t="str">
        <x:v>Preformed vitamin A &lt;3,000 µg RAE/day</x:v>
      </x:c>
      <x:c r="B15" s="10" t="str">
        <x:v>PASS</x:v>
      </x:c>
      <x:c r="C15" s="10" t="str">
        <x:v>Now tracked; cod-liver day remains below adult UL in planning model.</x:v>
      </x:c>
    </x:row>
    <x:row r="16">
      <x:c r="A16" s="10" t="str">
        <x:v>Tilapia 160 g / ocean perch 160 g</x:v>
      </x:c>
      <x:c r="B16" s="10" t="str">
        <x:v>PASS</x:v>
      </x:c>
      <x:c r="C16" s="10" t="str">
        <x:v>One meal each; unchanged.</x:v>
      </x:c>
    </x:row>
    <x:row r="17">
      <x:c r="A17" s="10" t="str">
        <x:v>Frequent ragi</x:v>
      </x:c>
      <x:c r="B17" s="10" t="str">
        <x:v>PASS</x:v>
      </x:c>
      <x:c r="C17" s="10" t="str">
        <x:v>Retained.</x:v>
      </x:c>
    </x:row>
    <x:row r="18">
      <x:c r="A18" s="10" t="str">
        <x:v>No salmon / tofu / croaker / red snapper / farm rock</x:v>
      </x:c>
      <x:c r="B18" s="10" t="str">
        <x:v>PASS</x:v>
      </x:c>
      <x:c r="C18" s="10" t="str">
        <x:v>None appear in the final meal plan.</x:v>
      </x:c>
    </x:row>
    <x:row r="19">
      <x:c r="A19" s="10" t="str">
        <x:v>2026 Dirty Dozen excluded</x:v>
      </x:c>
      <x:c r="B19" s="10" t="str">
        <x:v>PASS</x:v>
      </x:c>
      <x:c r="C19" s="10" t="str">
        <x:v>No listed Dirty Dozen produce used.</x:v>
      </x:c>
    </x:row>
    <x:row r="20">
      <x:c r="A20" s="10" t="str">
        <x:v>2026 Clean Fifteen prioritized</x:v>
      </x:c>
      <x:c r="B20" s="10" t="str">
        <x:v>PASS</x:v>
      </x:c>
      <x:c r="C20" s="10" t="str">
        <x:v>Plan emphasizes the agreed Clean Fifteen produce.</x:v>
      </x:c>
    </x:row>
    <x:row r="21">
      <x:c r="A21" s="10" t="str">
        <x:v>ICAN cod liver 20 g once weekly</x:v>
      </x:c>
      <x:c r="B21" s="10" t="str">
        <x:v>PASS</x:v>
      </x:c>
      <x:c r="C21" s="10" t="str">
        <x:v>Retained on Day 1 only.</x:v>
      </x:c>
    </x:row>
    <x:row r="22">
      <x:c r="A22" s="10" t="str">
        <x:v>Viruddha Ahara 18-item framework</x:v>
      </x:c>
      <x:c r="B22" s="10" t="str">
        <x:v>PASS + BEHAVIORAL</x:v>
      </x:c>
      <x:c r="C22" s="10" t="str">
        <x:v>Ingredient rules are implemented; behavioral items still depend on meal timing, water temperature, and eating state.</x:v>
      </x:c>
    </x:row>
    <x:row r="23">
      <x:c r="A23" s="10" t="str">
        <x:v>Fruit eaten literally alone</x:v>
      </x:c>
      <x:c r="B23" s="10" t="str">
        <x:v>PASS</x:v>
      </x:c>
      <x:c r="C23" s="10" t="str">
        <x:v>All fruit recipe options now contain only the fruit.</x:v>
      </x:c>
    </x:row>
    <x:row r="24">
      <x:c r="A24" s="10" t="str">
        <x:v>Approved seasonings only</x:v>
      </x:c>
      <x:c r="B24" s="10" t="str">
        <x:v>PASS</x:v>
      </x:c>
      <x:c r="C24" s="10" t="str">
        <x:v>Cardamom removed; vague sambar wording replaced with explicit approved spices.</x:v>
      </x:c>
    </x:row>
    <x:row r="25">
      <x:c r="A25" s="10" t="str">
        <x:v>Indian cuisine / low effort / Instant Pot / batch</x:v>
      </x:c>
      <x:c r="B25" s="10" t="str">
        <x:v>PASS</x:v>
      </x:c>
      <x:c r="C25" s="10" t="str">
        <x:v>Recipe mapping and batch guide retain all preferences.</x:v>
      </x:c>
    </x:row>
    <x:row r="26">
      <x:c r="A26" s="10" t="str">
        <x:v>Breakfast 4 options / other meals 3 options</x:v>
      </x:c>
      <x:c r="B26" s="10" t="str">
        <x:v>PASS</x:v>
      </x:c>
      <x:c r="C26" s="10" t="str">
        <x:v>Breakfasts now have 4 options including a no-cook overnight option; all other meals retain 3 options.</x:v>
      </x:c>
    </x:row>
    <x:row r="27">
      <x:c r="A27" s="10" t="str">
        <x:v>Exact ingredient quantities synchronized to recipes</x:v>
      </x:c>
      <x:c r="B27" s="10" t="str">
        <x:v>PASS</x:v>
      </x:c>
      <x:c r="C27" s="10" t="str">
        <x:v>Revised breakfast seed rotation and four option-specific breakfast ingredient sets are synchronized.</x:v>
      </x:c>
    </x:row>
    <x:row r="28">
      <x:c r="A28" s="10" t="str">
        <x:v>Shopping list synchronized</x:v>
      </x:c>
      <x:c r="B28" s="10" t="str">
        <x:v>PASS</x:v>
      </x:c>
      <x:c r="C28" s="10" t="str">
        <x:v>A separate final shopping workbook is generated from this final plan.</x:v>
      </x:c>
    </x:row>
    <x:row r="29">
      <x:c r="A29" s="10" t="str">
        <x:v>Detailed PDF synchronized</x:v>
      </x:c>
      <x:c r="B29" s="10" t="str">
        <x:v>PASS</x:v>
      </x:c>
      <x:c r="C29" s="10" t="str">
        <x:v>A separate final PDF is generated from this final plan.</x:v>
      </x:c>
    </x:row>
    <x:row r="30">
      <x:c r="A30" s="10" t="str">
        <x:v>Breakfast seed rotation</x:v>
      </x:c>
      <x:c r="B30" s="10" t="str">
        <x:v>PASS</x:v>
      </x:c>
      <x:c r="C30" s="10" t="str">
        <x:v>Chia, flax, hemp, pumpkin, sunflower and sesame are rotated in measured separate seed packs.</x:v>
      </x:c>
    </x:row>
    <x:row r="31">
      <x:c r="A31" s="10" t="str">
        <x:v>No-cook overnight breakfast</x:v>
      </x:c>
      <x:c r="B31" s="10" t="str">
        <x:v>PASS</x:v>
      </x:c>
      <x:c r="C31" s="10" t="str">
        <x:v>Every day has Option 4 with 0 minutes morning cooking; ingredients are assembled/refrigerated the night before.</x:v>
      </x:c>
    </x:row>
    <x:row r="32">
      <x:c r="A32" s="10" t="str">
        <x:v>Breakfast projected daily core targets</x:v>
      </x:c>
      <x:c r="B32" s="10" t="str">
        <x:v>PASS</x:v>
      </x:c>
      <x:c r="C32" s="10" t="str">
        <x:v>All 28 breakfast options keep projected daily calories 1,700–1,900, protein 110–130 g, fiber ≥38 g, calcium ≥1,000 mg, B12 ≥2.4 µg and omega-3 ≥1.6 g.</x:v>
      </x:c>
    </x:row>
    <x:row r="33">
      <x:c r="A33" s="10" t="str">
        <x:v>Vitamin E food target</x:v>
      </x:c>
      <x:c r="B33" s="10" t="str">
        <x:v>PLANNING GAP</x:v>
      </x:c>
      <x:c r="C33" s="10" t="str">
        <x:v>Sunflower rotation improves Vitamin E, but the generic model remains below 15 mg/day; unspecified cooking oil contribution is intentionally excluded.</x:v>
      </x:c>
    </x:row>
  </x:sheetData>
  <x:conditionalFormatting sqref="B2:B29">
    <x:cfRule type="expression" dxfId="50" priority="1">
      <x:formula>B2="PASS"</x:formula>
    </x:cfRule>
    <x:cfRule type="expression" dxfId="51" priority="2">
      <x:formula>LEFT(B2,4)="PASS"</x:formula>
    </x:cfRule>
    <x:cfRule type="expression" dxfId="52" priority="3">
      <x:formula>ISNUMBER(SEARCH("GAP",B2))</x:formula>
    </x:cfRule>
  </x:conditionalFormatting>
  <x:conditionalFormatting sqref="B2:B33">
    <x:cfRule type="expression" dxfId="106" priority="4">
      <x:formula>LEFT(B2,4)="PASS"</x:formula>
    </x:cfRule>
    <x:cfRule type="expression" dxfId="107" priority="5">
      <x:formula>ISNUMBER(SEARCH("GAP",B2))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20" hidden="0" customWidth="1"/>
    <x:col min="13" max="13" width="38" hidden="0" customWidth="1"/>
  </x:cols>
  <x:sheetData>
    <x:row r="1">
      <x:c r="A1" s="71" t="str">
        <x:v>Day</x:v>
      </x:c>
      <x:c r="B1" s="71" t="str">
        <x:v>Meal</x:v>
      </x:c>
      <x:c r="C1" s="71" t="str">
        <x:v>Vitamin A Total (µg RAE)</x:v>
      </x:c>
      <x:c r="D1" s="71" t="str">
        <x:v>Vitamin C (mg)</x:v>
      </x:c>
      <x:c r="E1" s="71" t="str">
        <x:v>Vitamin E (mg)</x:v>
      </x:c>
      <x:c r="F1" s="71" t="str">
        <x:v>Vitamin K (µg)</x:v>
      </x:c>
      <x:c r="G1" s="71" t="str">
        <x:v>Vitamin B1 Thiamin (mg)</x:v>
      </x:c>
      <x:c r="H1" s="71" t="str">
        <x:v>Vitamin B2 Riboflavin (mg)</x:v>
      </x:c>
      <x:c r="I1" s="71" t="str">
        <x:v>Vitamin B3 Niacin (mg)</x:v>
      </x:c>
      <x:c r="J1" s="71" t="str">
        <x:v>Vitamin B5 Pantothenic Acid (mg)</x:v>
      </x:c>
      <x:c r="K1" s="71" t="str">
        <x:v>Vitamin B6 (mg)</x:v>
      </x:c>
      <x:c r="L1" s="71" t="str">
        <x:v>Vitamin B7 Biotin (µg, est.)</x:v>
      </x:c>
      <x:c r="M1" s="71" t="str">
        <x:v>Basis</x:v>
      </x:c>
    </x:row>
    <x:row r="2">
      <x:c r="A2" s="10" t="str">
        <x:v>Day 1</x:v>
      </x:c>
      <x:c r="B2" s="10" t="str">
        <x:v>Breakfast</x:v>
      </x:c>
      <x:c r="C2" s="10" t="n">
        <x:v>218.29</x:v>
      </x:c>
      <x:c r="D2" s="10" t="n">
        <x:v>2.29</x:v>
      </x:c>
      <x:c r="E2" s="10" t="n">
        <x:v>0.98</x:v>
      </x:c>
      <x:c r="F2" s="10" t="n">
        <x:v>2.25</x:v>
      </x:c>
      <x:c r="G2" s="10" t="n">
        <x:v>0.81</x:v>
      </x:c>
      <x:c r="H2" s="10" t="n">
        <x:v>1.72</x:v>
      </x:c>
      <x:c r="I2" s="10" t="n">
        <x:v>5.85</x:v>
      </x:c>
      <x:c r="J2" s="10" t="n">
        <x:v>4.22</x:v>
      </x:c>
      <x:c r="K2" s="10" t="n">
        <x:v>0.45</x:v>
      </x:c>
      <x:c r="L2" s="10" t="n">
        <x:v>36.45</x:v>
      </x:c>
      <x:c r="M2" s="10" t="str">
        <x:v>Generic food-composition planning estimate; revised breakfast seed rotation</x:v>
      </x:c>
    </x:row>
    <x:row r="3">
      <x:c r="A3" s="10" t="str">
        <x:v>Day 1</x:v>
      </x:c>
      <x:c r="B3" s="10" t="str">
        <x:v>Mid-morning fruit</x:v>
      </x:c>
      <x:c r="C3" s="10" t="n">
        <x:v>70.5</x:v>
      </x:c>
      <x:c r="D3" s="10" t="n">
        <x:v>91.35</x:v>
      </x:c>
      <x:c r="E3" s="10" t="n">
        <x:v>0.45</x:v>
      </x:c>
      <x:c r="F3" s="10" t="n">
        <x:v>3.9</x:v>
      </x:c>
      <x:c r="G3" s="10" t="n">
        <x:v>0.03</x:v>
      </x:c>
      <x:c r="H3" s="10" t="n">
        <x:v>0.04</x:v>
      </x:c>
      <x:c r="I3" s="10" t="n">
        <x:v>0.54</x:v>
      </x:c>
      <x:c r="J3" s="10" t="n">
        <x:v>0.29</x:v>
      </x:c>
      <x:c r="K3" s="10" t="n">
        <x:v>0.06</x:v>
      </x:c>
      <x:c r="L3" s="10" t="n">
        <x:v>1.5</x:v>
      </x:c>
      <x:c r="M3" s="10" t="str">
        <x:v>Generic food-composition planning estimate</x:v>
      </x:c>
    </x:row>
    <x:row r="4">
      <x:c r="A4" s="10" t="str">
        <x:v>Day 1</x:v>
      </x:c>
      <x:c r="B4" s="10" t="str">
        <x:v>Lunch</x:v>
      </x:c>
      <x:c r="C4" s="10" t="n">
        <x:v>1451.7</x:v>
      </x:c>
      <x:c r="D4" s="10" t="n">
        <x:v>80.86</x:v>
      </x:c>
      <x:c r="E4" s="10" t="n">
        <x:v>1.74</x:v>
      </x:c>
      <x:c r="F4" s="10" t="n">
        <x:v>67.1</x:v>
      </x:c>
      <x:c r="G4" s="10" t="n">
        <x:v>0.66</x:v>
      </x:c>
      <x:c r="H4" s="10" t="n">
        <x:v>0.45</x:v>
      </x:c>
      <x:c r="I4" s="10" t="n">
        <x:v>17.79</x:v>
      </x:c>
      <x:c r="J4" s="10" t="n">
        <x:v>3.25</x:v>
      </x:c>
      <x:c r="K4" s="10" t="n">
        <x:v>1.32</x:v>
      </x:c>
      <x:c r="L4" s="10" t="n">
        <x:v>6.54</x:v>
      </x:c>
      <x:c r="M4" s="10" t="str">
        <x:v>Generic food-composition planning estimate</x:v>
      </x:c>
    </x:row>
    <x:row r="5">
      <x:c r="A5" s="10" t="str">
        <x:v>Day 1</x:v>
      </x:c>
      <x:c r="B5" s="10" t="str">
        <x:v>Dinner</x:v>
      </x:c>
      <x:c r="C5" s="10" t="n">
        <x:v>870.3</x:v>
      </x:c>
      <x:c r="D5" s="10" t="n">
        <x:v>86.9</x:v>
      </x:c>
      <x:c r="E5" s="10" t="n">
        <x:v>1.31</x:v>
      </x:c>
      <x:c r="F5" s="10" t="n">
        <x:v>142.42</x:v>
      </x:c>
      <x:c r="G5" s="10" t="n">
        <x:v>0.57</x:v>
      </x:c>
      <x:c r="H5" s="10" t="n">
        <x:v>0.73</x:v>
      </x:c>
      <x:c r="I5" s="10" t="n">
        <x:v>20.99</x:v>
      </x:c>
      <x:c r="J5" s="10" t="n">
        <x:v>3.61</x:v>
      </x:c>
      <x:c r="K5" s="10" t="n">
        <x:v>1.31</x:v>
      </x:c>
      <x:c r="L5" s="10" t="n">
        <x:v>23.62</x:v>
      </x:c>
      <x:c r="M5" s="10" t="str">
        <x:v>Generic food-composition planning estimate</x:v>
      </x:c>
    </x:row>
    <x:row r="6">
      <x:c r="A6" s="10" t="str">
        <x:v>Day 2</x:v>
      </x:c>
      <x:c r="B6" s="10" t="str">
        <x:v>Breakfast</x:v>
      </x:c>
      <x:c r="C6" s="10" t="n">
        <x:v>218.2</x:v>
      </x:c>
      <x:c r="D6" s="10" t="n">
        <x:v>0.11</x:v>
      </x:c>
      <x:c r="E6" s="10" t="n">
        <x:v>0.85</x:v>
      </x:c>
      <x:c r="F6" s="10" t="n">
        <x:v>1.05</x:v>
      </x:c>
      <x:c r="G6" s="10" t="n">
        <x:v>0.48</x:v>
      </x:c>
      <x:c r="H6" s="10" t="n">
        <x:v>1.12</x:v>
      </x:c>
      <x:c r="I6" s="10" t="n">
        <x:v>1.99</x:v>
      </x:c>
      <x:c r="J6" s="10" t="n">
        <x:v>2.18</x:v>
      </x:c>
      <x:c r="K6" s="10" t="n">
        <x:v>0.46</x:v>
      </x:c>
      <x:c r="L6" s="10" t="n">
        <x:v>12.11</x:v>
      </x:c>
      <x:c r="M6" s="10" t="str">
        <x:v>Generic food-composition planning estimate; revised breakfast seed rotation</x:v>
      </x:c>
    </x:row>
    <x:row r="7">
      <x:c r="A7" s="10" t="str">
        <x:v>Day 2</x:v>
      </x:c>
      <x:c r="B7" s="10" t="str">
        <x:v>Mid-morning fruit</x:v>
      </x:c>
      <x:c r="C7" s="10" t="n">
        <x:v>6</x:v>
      </x:c>
      <x:c r="D7" s="10" t="n">
        <x:v>139.05</x:v>
      </x:c>
      <x:c r="E7" s="10" t="n">
        <x:v>2.19</x:v>
      </x:c>
      <x:c r="F7" s="10" t="n">
        <x:v>60.45</x:v>
      </x:c>
      <x:c r="G7" s="10" t="n">
        <x:v>0.04</x:v>
      </x:c>
      <x:c r="H7" s="10" t="n">
        <x:v>0.04</x:v>
      </x:c>
      <x:c r="I7" s="10" t="n">
        <x:v>0.51</x:v>
      </x:c>
      <x:c r="J7" s="10" t="n">
        <x:v>0.27</x:v>
      </x:c>
      <x:c r="K7" s="10" t="n">
        <x:v>0.09</x:v>
      </x:c>
      <x:c r="L7" s="10" t="n">
        <x:v>2.25</x:v>
      </x:c>
      <x:c r="M7" s="10" t="str">
        <x:v>Generic food-composition planning estimate</x:v>
      </x:c>
    </x:row>
    <x:row r="8">
      <x:c r="A8" s="10" t="str">
        <x:v>Day 2</x:v>
      </x:c>
      <x:c r="B8" s="10" t="str">
        <x:v>Lunch</x:v>
      </x:c>
      <x:c r="C8" s="10" t="n">
        <x:v>12.5</x:v>
      </x:c>
      <x:c r="D8" s="10" t="n">
        <x:v>132.92</x:v>
      </x:c>
      <x:c r="E8" s="10" t="n">
        <x:v>0.79</x:v>
      </x:c>
      <x:c r="F8" s="10" t="n">
        <x:v>146.34</x:v>
      </x:c>
      <x:c r="G8" s="10" t="n">
        <x:v>0.64</x:v>
      </x:c>
      <x:c r="H8" s="10" t="n">
        <x:v>0.39</x:v>
      </x:c>
      <x:c r="I8" s="10" t="n">
        <x:v>16.91</x:v>
      </x:c>
      <x:c r="J8" s="10" t="n">
        <x:v>3.19</x:v>
      </x:c>
      <x:c r="K8" s="10" t="n">
        <x:v>1.48</x:v>
      </x:c>
      <x:c r="L8" s="10" t="n">
        <x:v>5.77</x:v>
      </x:c>
      <x:c r="M8" s="10" t="str">
        <x:v>Generic food-composition planning estimate</x:v>
      </x:c>
    </x:row>
    <x:row r="9">
      <x:c r="A9" s="10" t="str">
        <x:v>Day 2</x:v>
      </x:c>
      <x:c r="B9" s="10" t="str">
        <x:v>Dinner</x:v>
      </x:c>
      <x:c r="C9" s="10" t="n">
        <x:v>1043</x:v>
      </x:c>
      <x:c r="D9" s="10" t="n">
        <x:v>17.69</x:v>
      </x:c>
      <x:c r="E9" s="10" t="n">
        <x:v>3.35</x:v>
      </x:c>
      <x:c r="F9" s="10" t="n">
        <x:v>67.05</x:v>
      </x:c>
      <x:c r="G9" s="10" t="n">
        <x:v>0.76</x:v>
      </x:c>
      <x:c r="H9" s="10" t="n">
        <x:v>2.08</x:v>
      </x:c>
      <x:c r="I9" s="10" t="n">
        <x:v>9.71</x:v>
      </x:c>
      <x:c r="J9" s="10" t="n">
        <x:v>5.65</x:v>
      </x:c>
      <x:c r="K9" s="10" t="n">
        <x:v>0.87</x:v>
      </x:c>
      <x:c r="L9" s="10" t="n">
        <x:v>54.87</x:v>
      </x:c>
      <x:c r="M9" s="10" t="str">
        <x:v>Generic food-composition planning estimate</x:v>
      </x:c>
    </x:row>
    <x:row r="10">
      <x:c r="A10" s="10" t="str">
        <x:v>Day 3</x:v>
      </x:c>
      <x:c r="B10" s="10" t="str">
        <x:v>Breakfast</x:v>
      </x:c>
      <x:c r="C10" s="10" t="n">
        <x:v>298.15</x:v>
      </x:c>
      <x:c r="D10" s="10" t="n">
        <x:v>0.24</x:v>
      </x:c>
      <x:c r="E10" s="10" t="n">
        <x:v>3.25</x:v>
      </x:c>
      <x:c r="F10" s="10" t="n">
        <x:v>2.31</x:v>
      </x:c>
      <x:c r="G10" s="10" t="n">
        <x:v>0.58</x:v>
      </x:c>
      <x:c r="H10" s="10" t="n">
        <x:v>1.32</x:v>
      </x:c>
      <x:c r="I10" s="10" t="n">
        <x:v>1.87</x:v>
      </x:c>
      <x:c r="J10" s="10" t="n">
        <x:v>3.2</x:v>
      </x:c>
      <x:c r="K10" s="10" t="n">
        <x:v>0.42</x:v>
      </x:c>
      <x:c r="L10" s="10" t="n">
        <x:v>28.85</x:v>
      </x:c>
      <x:c r="M10" s="10" t="str">
        <x:v>Generic food-composition planning estimate; revised breakfast seed rotation</x:v>
      </x:c>
    </x:row>
    <x:row r="11">
      <x:c r="A11" s="10" t="str">
        <x:v>Day 3</x:v>
      </x:c>
      <x:c r="B11" s="10" t="str">
        <x:v>Mid-morning fruit</x:v>
      </x:c>
      <x:c r="C11" s="10" t="n">
        <x:v>4.5</x:v>
      </x:c>
      <x:c r="D11" s="10" t="n">
        <x:v>71.7</x:v>
      </x:c>
      <x:c r="E11" s="10" t="n">
        <x:v>0.03</x:v>
      </x:c>
      <x:c r="F11" s="10" t="n">
        <x:v>1.05</x:v>
      </x:c>
      <x:c r="G11" s="10" t="n">
        <x:v>0.12</x:v>
      </x:c>
      <x:c r="H11" s="10" t="n">
        <x:v>0.05</x:v>
      </x:c>
      <x:c r="I11" s="10" t="n">
        <x:v>0.75</x:v>
      </x:c>
      <x:c r="J11" s="10" t="n">
        <x:v>0.32</x:v>
      </x:c>
      <x:c r="K11" s="10" t="n">
        <x:v>0.17</x:v>
      </x:c>
      <x:c r="L11" s="10" t="n">
        <x:v>0.3</x:v>
      </x:c>
      <x:c r="M11" s="10" t="str">
        <x:v>Generic food-composition planning estimate</x:v>
      </x:c>
    </x:row>
    <x:row r="12">
      <x:c r="A12" s="10" t="str">
        <x:v>Day 3</x:v>
      </x:c>
      <x:c r="B12" s="10" t="str">
        <x:v>Lunch</x:v>
      </x:c>
      <x:c r="C12" s="10" t="n">
        <x:v>52.6</x:v>
      </x:c>
      <x:c r="D12" s="10" t="n">
        <x:v>113.34</x:v>
      </x:c>
      <x:c r="E12" s="10" t="n">
        <x:v>1.96</x:v>
      </x:c>
      <x:c r="F12" s="10" t="n">
        <x:v>174.75</x:v>
      </x:c>
      <x:c r="G12" s="10" t="n">
        <x:v>0.69</x:v>
      </x:c>
      <x:c r="H12" s="10" t="n">
        <x:v>0.48</x:v>
      </x:c>
      <x:c r="I12" s="10" t="n">
        <x:v>17.38</x:v>
      </x:c>
      <x:c r="J12" s="10" t="n">
        <x:v>3.38</x:v>
      </x:c>
      <x:c r="K12" s="10" t="n">
        <x:v>1.42</x:v>
      </x:c>
      <x:c r="L12" s="10" t="n">
        <x:v>7.99</x:v>
      </x:c>
      <x:c r="M12" s="10" t="str">
        <x:v>Generic food-composition planning estimate</x:v>
      </x:c>
    </x:row>
    <x:row r="13">
      <x:c r="A13" s="10" t="str">
        <x:v>Day 3</x:v>
      </x:c>
      <x:c r="B13" s="10" t="str">
        <x:v>Dinner</x:v>
      </x:c>
      <x:c r="C13" s="10" t="n">
        <x:v>111.5</x:v>
      </x:c>
      <x:c r="D13" s="10" t="n">
        <x:v>83.65</x:v>
      </x:c>
      <x:c r="E13" s="10" t="n">
        <x:v>1.29</x:v>
      </x:c>
      <x:c r="F13" s="10" t="n">
        <x:v>132.63</x:v>
      </x:c>
      <x:c r="G13" s="10" t="n">
        <x:v>0.86</x:v>
      </x:c>
      <x:c r="H13" s="10" t="n">
        <x:v>1.83</x:v>
      </x:c>
      <x:c r="I13" s="10" t="n">
        <x:v>8.77</x:v>
      </x:c>
      <x:c r="J13" s="10" t="n">
        <x:v>4.48</x:v>
      </x:c>
      <x:c r="K13" s="10" t="n">
        <x:v>1</x:v>
      </x:c>
      <x:c r="L13" s="10" t="n">
        <x:v>38.51</x:v>
      </x:c>
      <x:c r="M13" s="10" t="str">
        <x:v>Generic food-composition planning estimate</x:v>
      </x:c>
    </x:row>
    <x:row r="14">
      <x:c r="A14" s="10" t="str">
        <x:v>Day 4</x:v>
      </x:c>
      <x:c r="B14" s="10" t="str">
        <x:v>Breakfast</x:v>
      </x:c>
      <x:c r="C14" s="10" t="n">
        <x:v>218.05</x:v>
      </x:c>
      <x:c r="D14" s="10" t="n">
        <x:v>0.12</x:v>
      </x:c>
      <x:c r="E14" s="10" t="n">
        <x:v>2.65</x:v>
      </x:c>
      <x:c r="F14" s="10" t="n">
        <x:v>2</x:v>
      </x:c>
      <x:c r="G14" s="10" t="n">
        <x:v>0.65</x:v>
      </x:c>
      <x:c r="H14" s="10" t="n">
        <x:v>1.09</x:v>
      </x:c>
      <x:c r="I14" s="10" t="n">
        <x:v>1.76</x:v>
      </x:c>
      <x:c r="J14" s="10" t="n">
        <x:v>2.53</x:v>
      </x:c>
      <x:c r="K14" s="10" t="n">
        <x:v>0.38</x:v>
      </x:c>
      <x:c r="L14" s="10" t="n">
        <x:v>18.85</x:v>
      </x:c>
      <x:c r="M14" s="10" t="str">
        <x:v>Generic food-composition planning estimate; revised breakfast seed rotation</x:v>
      </x:c>
    </x:row>
    <x:row r="15">
      <x:c r="A15" s="10" t="str">
        <x:v>Day 4</x:v>
      </x:c>
      <x:c r="B15" s="10" t="str">
        <x:v>Mid-morning fruit</x:v>
      </x:c>
      <x:c r="C15" s="10" t="n">
        <x:v>81</x:v>
      </x:c>
      <x:c r="D15" s="10" t="n">
        <x:v>54.6</x:v>
      </x:c>
      <x:c r="E15" s="10" t="n">
        <x:v>1.35</x:v>
      </x:c>
      <x:c r="F15" s="10" t="n">
        <x:v>6.3</x:v>
      </x:c>
      <x:c r="G15" s="10" t="n">
        <x:v>0.04</x:v>
      </x:c>
      <x:c r="H15" s="10" t="n">
        <x:v>0.06</x:v>
      </x:c>
      <x:c r="I15" s="10" t="n">
        <x:v>1</x:v>
      </x:c>
      <x:c r="J15" s="10" t="n">
        <x:v>0.3</x:v>
      </x:c>
      <x:c r="K15" s="10" t="n">
        <x:v>0.18</x:v>
      </x:c>
      <x:c r="L15" s="10" t="n">
        <x:v>0.75</x:v>
      </x:c>
      <x:c r="M15" s="10" t="str">
        <x:v>Generic food-composition planning estimate</x:v>
      </x:c>
    </x:row>
    <x:row r="16">
      <x:c r="A16" s="10" t="str">
        <x:v>Day 4</x:v>
      </x:c>
      <x:c r="B16" s="10" t="str">
        <x:v>Lunch</x:v>
      </x:c>
      <x:c r="C16" s="10" t="n">
        <x:v>881.8</x:v>
      </x:c>
      <x:c r="D16" s="10" t="n">
        <x:v>89.48</x:v>
      </x:c>
      <x:c r="E16" s="10" t="n">
        <x:v>3.19</x:v>
      </x:c>
      <x:c r="F16" s="10" t="n">
        <x:v>90.33</x:v>
      </x:c>
      <x:c r="G16" s="10" t="n">
        <x:v>0.73</x:v>
      </x:c>
      <x:c r="H16" s="10" t="n">
        <x:v>0.57</x:v>
      </x:c>
      <x:c r="I16" s="10" t="n">
        <x:v>11.14</x:v>
      </x:c>
      <x:c r="J16" s="10" t="n">
        <x:v>3.47</x:v>
      </x:c>
      <x:c r="K16" s="10" t="n">
        <x:v>1.23</x:v>
      </x:c>
      <x:c r="L16" s="10" t="n">
        <x:v>13.88</x:v>
      </x:c>
      <x:c r="M16" s="10" t="str">
        <x:v>Generic food-composition planning estimate</x:v>
      </x:c>
    </x:row>
    <x:row r="17">
      <x:c r="A17" s="10" t="str">
        <x:v>Day 4</x:v>
      </x:c>
      <x:c r="B17" s="10" t="str">
        <x:v>Dinner</x:v>
      </x:c>
      <x:c r="C17" s="10" t="n">
        <x:v>37.4</x:v>
      </x:c>
      <x:c r="D17" s="10" t="n">
        <x:v>83.73</x:v>
      </x:c>
      <x:c r="E17" s="10" t="n">
        <x:v>0.84</x:v>
      </x:c>
      <x:c r="F17" s="10" t="n">
        <x:v>132.37</x:v>
      </x:c>
      <x:c r="G17" s="10" t="n">
        <x:v>0.77</x:v>
      </x:c>
      <x:c r="H17" s="10" t="n">
        <x:v>0.95</x:v>
      </x:c>
      <x:c r="I17" s="10" t="n">
        <x:v>22.59</x:v>
      </x:c>
      <x:c r="J17" s="10" t="n">
        <x:v>4.75</x:v>
      </x:c>
      <x:c r="K17" s="10" t="n">
        <x:v>1.36</x:v>
      </x:c>
      <x:c r="L17" s="10" t="n">
        <x:v>29.07</x:v>
      </x:c>
      <x:c r="M17" s="10" t="str">
        <x:v>Generic food-composition planning estimate</x:v>
      </x:c>
    </x:row>
    <x:row r="18">
      <x:c r="A18" s="10" t="str">
        <x:v>Day 5</x:v>
      </x:c>
      <x:c r="B18" s="10" t="str">
        <x:v>Breakfast</x:v>
      </x:c>
      <x:c r="C18" s="10" t="n">
        <x:v>218.15</x:v>
      </x:c>
      <x:c r="D18" s="10" t="n">
        <x:v>0.15</x:v>
      </x:c>
      <x:c r="E18" s="10" t="n">
        <x:v>2.57</x:v>
      </x:c>
      <x:c r="F18" s="10" t="n">
        <x:v>1.05</x:v>
      </x:c>
      <x:c r="G18" s="10" t="n">
        <x:v>0.49</x:v>
      </x:c>
      <x:c r="H18" s="10" t="n">
        <x:v>1.13</x:v>
      </x:c>
      <x:c r="I18" s="10" t="n">
        <x:v>1.95</x:v>
      </x:c>
      <x:c r="J18" s="10" t="n">
        <x:v>2.19</x:v>
      </x:c>
      <x:c r="K18" s="10" t="n">
        <x:v>0.49</x:v>
      </x:c>
      <x:c r="L18" s="10" t="n">
        <x:v>12.15</x:v>
      </x:c>
      <x:c r="M18" s="10" t="str">
        <x:v>Generic food-composition planning estimate; revised breakfast seed rotation</x:v>
      </x:c>
    </x:row>
    <x:row r="19">
      <x:c r="A19" s="10" t="str">
        <x:v>Day 5</x:v>
      </x:c>
      <x:c r="B19" s="10" t="str">
        <x:v>Mid-morning fruit</x:v>
      </x:c>
      <x:c r="C19" s="10" t="n">
        <x:v>70.5</x:v>
      </x:c>
      <x:c r="D19" s="10" t="n">
        <x:v>91.35</x:v>
      </x:c>
      <x:c r="E19" s="10" t="n">
        <x:v>0.45</x:v>
      </x:c>
      <x:c r="F19" s="10" t="n">
        <x:v>3.9</x:v>
      </x:c>
      <x:c r="G19" s="10" t="n">
        <x:v>0.03</x:v>
      </x:c>
      <x:c r="H19" s="10" t="n">
        <x:v>0.04</x:v>
      </x:c>
      <x:c r="I19" s="10" t="n">
        <x:v>0.54</x:v>
      </x:c>
      <x:c r="J19" s="10" t="n">
        <x:v>0.29</x:v>
      </x:c>
      <x:c r="K19" s="10" t="n">
        <x:v>0.06</x:v>
      </x:c>
      <x:c r="L19" s="10" t="n">
        <x:v>1.5</x:v>
      </x:c>
      <x:c r="M19" s="10" t="str">
        <x:v>Generic food-composition planning estimate</x:v>
      </x:c>
    </x:row>
    <x:row r="20">
      <x:c r="A20" s="10" t="str">
        <x:v>Day 5</x:v>
      </x:c>
      <x:c r="B20" s="10" t="str">
        <x:v>Lunch</x:v>
      </x:c>
      <x:c r="C20" s="10" t="n">
        <x:v>848.3</x:v>
      </x:c>
      <x:c r="D20" s="10" t="n">
        <x:v>137.86</x:v>
      </x:c>
      <x:c r="E20" s="10" t="n">
        <x:v>1.54</x:v>
      </x:c>
      <x:c r="F20" s="10" t="n">
        <x:v>152.94</x:v>
      </x:c>
      <x:c r="G20" s="10" t="n">
        <x:v>0.77</x:v>
      </x:c>
      <x:c r="H20" s="10" t="n">
        <x:v>0.43</x:v>
      </x:c>
      <x:c r="I20" s="10" t="n">
        <x:v>17.89</x:v>
      </x:c>
      <x:c r="J20" s="10" t="n">
        <x:v>3.9</x:v>
      </x:c>
      <x:c r="K20" s="10" t="n">
        <x:v>1.64</x:v>
      </x:c>
      <x:c r="L20" s="10" t="n">
        <x:v>11.29</x:v>
      </x:c>
      <x:c r="M20" s="10" t="str">
        <x:v>Generic food-composition planning estimate</x:v>
      </x:c>
    </x:row>
    <x:row r="21">
      <x:c r="A21" s="10" t="str">
        <x:v>Day 5</x:v>
      </x:c>
      <x:c r="B21" s="10" t="str">
        <x:v>Dinner</x:v>
      </x:c>
      <x:c r="C21" s="10" t="n">
        <x:v>228.4</x:v>
      </x:c>
      <x:c r="D21" s="10" t="n">
        <x:v>35.67</x:v>
      </x:c>
      <x:c r="E21" s="10" t="n">
        <x:v>2.64</x:v>
      </x:c>
      <x:c r="F21" s="10" t="n">
        <x:v>72.73</x:v>
      </x:c>
      <x:c r="G21" s="10" t="n">
        <x:v>0.84</x:v>
      </x:c>
      <x:c r="H21" s="10" t="n">
        <x:v>2.1</x:v>
      </x:c>
      <x:c r="I21" s="10" t="n">
        <x:v>9.85</x:v>
      </x:c>
      <x:c r="J21" s="10" t="n">
        <x:v>4.94</x:v>
      </x:c>
      <x:c r="K21" s="10" t="n">
        <x:v>0.83</x:v>
      </x:c>
      <x:c r="L21" s="10" t="n">
        <x:v>49.13</x:v>
      </x:c>
      <x:c r="M21" s="10" t="str">
        <x:v>Generic food-composition planning estimate</x:v>
      </x:c>
    </x:row>
    <x:row r="22">
      <x:c r="A22" s="10" t="str">
        <x:v>Day 6</x:v>
      </x:c>
      <x:c r="B22" s="10" t="str">
        <x:v>Breakfast</x:v>
      </x:c>
      <x:c r="C22" s="10" t="n">
        <x:v>298.2</x:v>
      </x:c>
      <x:c r="D22" s="10" t="n">
        <x:v>0.2</x:v>
      </x:c>
      <x:c r="E22" s="10" t="n">
        <x:v>1.53</x:v>
      </x:c>
      <x:c r="F22" s="10" t="n">
        <x:v>2.31</x:v>
      </x:c>
      <x:c r="G22" s="10" t="n">
        <x:v>0.57</x:v>
      </x:c>
      <x:c r="H22" s="10" t="n">
        <x:v>1.09</x:v>
      </x:c>
      <x:c r="I22" s="10" t="n">
        <x:v>1.86</x:v>
      </x:c>
      <x:c r="J22" s="10" t="n">
        <x:v>3.09</x:v>
      </x:c>
      <x:c r="K22" s="10" t="n">
        <x:v>0.39</x:v>
      </x:c>
      <x:c r="L22" s="10" t="n">
        <x:v>28.75</x:v>
      </x:c>
      <x:c r="M22" s="10" t="str">
        <x:v>Generic food-composition planning estimate; revised breakfast seed rotation</x:v>
      </x:c>
    </x:row>
    <x:row r="23">
      <x:c r="A23" s="10" t="str">
        <x:v>Day 6</x:v>
      </x:c>
      <x:c r="B23" s="10" t="str">
        <x:v>Mid-morning fruit</x:v>
      </x:c>
      <x:c r="C23" s="10" t="n">
        <x:v>6</x:v>
      </x:c>
      <x:c r="D23" s="10" t="n">
        <x:v>139.05</x:v>
      </x:c>
      <x:c r="E23" s="10" t="n">
        <x:v>2.19</x:v>
      </x:c>
      <x:c r="F23" s="10" t="n">
        <x:v>60.45</x:v>
      </x:c>
      <x:c r="G23" s="10" t="n">
        <x:v>0.04</x:v>
      </x:c>
      <x:c r="H23" s="10" t="n">
        <x:v>0.04</x:v>
      </x:c>
      <x:c r="I23" s="10" t="n">
        <x:v>0.51</x:v>
      </x:c>
      <x:c r="J23" s="10" t="n">
        <x:v>0.27</x:v>
      </x:c>
      <x:c r="K23" s="10" t="n">
        <x:v>0.09</x:v>
      </x:c>
      <x:c r="L23" s="10" t="n">
        <x:v>2.25</x:v>
      </x:c>
      <x:c r="M23" s="10" t="str">
        <x:v>Generic food-composition planning estimate</x:v>
      </x:c>
    </x:row>
    <x:row r="24">
      <x:c r="A24" s="10" t="str">
        <x:v>Day 6</x:v>
      </x:c>
      <x:c r="B24" s="10" t="str">
        <x:v>Lunch</x:v>
      </x:c>
      <x:c r="C24" s="10" t="n">
        <x:v>13.7</x:v>
      </x:c>
      <x:c r="D24" s="10" t="n">
        <x:v>132.5</x:v>
      </x:c>
      <x:c r="E24" s="10" t="n">
        <x:v>1.01</x:v>
      </x:c>
      <x:c r="F24" s="10" t="n">
        <x:v>141.38</x:v>
      </x:c>
      <x:c r="G24" s="10" t="n">
        <x:v>0.55</x:v>
      </x:c>
      <x:c r="H24" s="10" t="n">
        <x:v>0.37</x:v>
      </x:c>
      <x:c r="I24" s="10" t="n">
        <x:v>16.42</x:v>
      </x:c>
      <x:c r="J24" s="10" t="n">
        <x:v>3.37</x:v>
      </x:c>
      <x:c r="K24" s="10" t="n">
        <x:v>1.5</x:v>
      </x:c>
      <x:c r="L24" s="10" t="n">
        <x:v>5.93</x:v>
      </x:c>
      <x:c r="M24" s="10" t="str">
        <x:v>Generic food-composition planning estimate</x:v>
      </x:c>
    </x:row>
    <x:row r="25">
      <x:c r="A25" s="10" t="str">
        <x:v>Day 6</x:v>
      </x:c>
      <x:c r="B25" s="10" t="str">
        <x:v>Dinner</x:v>
      </x:c>
      <x:c r="C25" s="10" t="n">
        <x:v>887.5</x:v>
      </x:c>
      <x:c r="D25" s="10" t="n">
        <x:v>17.45</x:v>
      </x:c>
      <x:c r="E25" s="10" t="n">
        <x:v>2.67</x:v>
      </x:c>
      <x:c r="F25" s="10" t="n">
        <x:v>66.43</x:v>
      </x:c>
      <x:c r="G25" s="10" t="n">
        <x:v>0.95</x:v>
      </x:c>
      <x:c r="H25" s="10" t="n">
        <x:v>1.19</x:v>
      </x:c>
      <x:c r="I25" s="10" t="n">
        <x:v>14.33</x:v>
      </x:c>
      <x:c r="J25" s="10" t="n">
        <x:v>4.95</x:v>
      </x:c>
      <x:c r="K25" s="10" t="n">
        <x:v>1.02</x:v>
      </x:c>
      <x:c r="L25" s="10" t="n">
        <x:v>36.66</x:v>
      </x:c>
      <x:c r="M25" s="10" t="str">
        <x:v>Generic food-composition planning estimate</x:v>
      </x:c>
    </x:row>
    <x:row r="26">
      <x:c r="A26" s="10" t="str">
        <x:v>Day 7</x:v>
      </x:c>
      <x:c r="B26" s="10" t="str">
        <x:v>Breakfast</x:v>
      </x:c>
      <x:c r="C26" s="10" t="n">
        <x:v>218.15</x:v>
      </x:c>
      <x:c r="D26" s="10" t="n">
        <x:v>0.18</x:v>
      </x:c>
      <x:c r="E26" s="10" t="n">
        <x:v>2.64</x:v>
      </x:c>
      <x:c r="F26" s="10" t="n">
        <x:v>2.02</x:v>
      </x:c>
      <x:c r="G26" s="10" t="n">
        <x:v>0.64</x:v>
      </x:c>
      <x:c r="H26" s="10" t="n">
        <x:v>1.31</x:v>
      </x:c>
      <x:c r="I26" s="10" t="n">
        <x:v>1.8</x:v>
      </x:c>
      <x:c r="J26" s="10" t="n">
        <x:v>2.61</x:v>
      </x:c>
      <x:c r="K26" s="10" t="n">
        <x:v>0.36</x:v>
      </x:c>
      <x:c r="L26" s="10" t="n">
        <x:v>18.95</x:v>
      </x:c>
      <x:c r="M26" s="10" t="str">
        <x:v>Generic food-composition planning estimate; revised breakfast seed rotation</x:v>
      </x:c>
    </x:row>
    <x:row r="27">
      <x:c r="A27" s="10" t="str">
        <x:v>Day 7</x:v>
      </x:c>
      <x:c r="B27" s="10" t="str">
        <x:v>Mid-morning fruit</x:v>
      </x:c>
      <x:c r="C27" s="10" t="n">
        <x:v>3.6</x:v>
      </x:c>
      <x:c r="D27" s="10" t="n">
        <x:v>10.44</x:v>
      </x:c>
      <x:c r="E27" s="10" t="n">
        <x:v>0.12</x:v>
      </x:c>
      <x:c r="F27" s="10" t="n">
        <x:v>0.6</x:v>
      </x:c>
      <x:c r="G27" s="10" t="n">
        <x:v>0.04</x:v>
      </x:c>
      <x:c r="H27" s="10" t="n">
        <x:v>0.09</x:v>
      </x:c>
      <x:c r="I27" s="10" t="n">
        <x:v>0.8</x:v>
      </x:c>
      <x:c r="J27" s="10" t="n">
        <x:v>0.4</x:v>
      </x:c>
      <x:c r="K27" s="10" t="n">
        <x:v>0.44</x:v>
      </x:c>
      <x:c r="L27" s="10" t="n">
        <x:v>0.24</x:v>
      </x:c>
      <x:c r="M27" s="10" t="str">
        <x:v>Generic food-composition planning estimate</x:v>
      </x:c>
    </x:row>
    <x:row r="28">
      <x:c r="A28" s="10" t="str">
        <x:v>Day 7</x:v>
      </x:c>
      <x:c r="B28" s="10" t="str">
        <x:v>Lunch</x:v>
      </x:c>
      <x:c r="C28" s="10" t="n">
        <x:v>46.2</x:v>
      </x:c>
      <x:c r="D28" s="10" t="n">
        <x:v>113.98</x:v>
      </x:c>
      <x:c r="E28" s="10" t="n">
        <x:v>1.99</x:v>
      </x:c>
      <x:c r="F28" s="10" t="n">
        <x:v>174.29</x:v>
      </x:c>
      <x:c r="G28" s="10" t="n">
        <x:v>0.83</x:v>
      </x:c>
      <x:c r="H28" s="10" t="n">
        <x:v>0.88</x:v>
      </x:c>
      <x:c r="I28" s="10" t="n">
        <x:v>7.65</x:v>
      </x:c>
      <x:c r="J28" s="10" t="n">
        <x:v>3.12</x:v>
      </x:c>
      <x:c r="K28" s="10" t="n">
        <x:v>1.15</x:v>
      </x:c>
      <x:c r="L28" s="10" t="n">
        <x:v>9.02</x:v>
      </x:c>
      <x:c r="M28" s="10" t="str">
        <x:v>Generic food-composition planning estimate</x:v>
      </x:c>
    </x:row>
    <x:row r="29">
      <x:c r="A29" s="10" t="str">
        <x:v>Day 7</x:v>
      </x:c>
      <x:c r="B29" s="10" t="str">
        <x:v>Dinner</x:v>
      </x:c>
      <x:c r="C29" s="10" t="n">
        <x:v>35.3</x:v>
      </x:c>
      <x:c r="D29" s="10" t="n">
        <x:v>153.3</x:v>
      </x:c>
      <x:c r="E29" s="10" t="n">
        <x:v>0.91</x:v>
      </x:c>
      <x:c r="F29" s="10" t="n">
        <x:v>154.22</x:v>
      </x:c>
      <x:c r="G29" s="10" t="n">
        <x:v>0.82</x:v>
      </x:c>
      <x:c r="H29" s="10" t="n">
        <x:v>0.83</x:v>
      </x:c>
      <x:c r="I29" s="10" t="n">
        <x:v>21.81</x:v>
      </x:c>
      <x:c r="J29" s="10" t="n">
        <x:v>4.7</x:v>
      </x:c>
      <x:c r="K29" s="10" t="n">
        <x:v>1.56</x:v>
      </x:c>
      <x:c r="L29" s="10" t="n">
        <x:v>21.74</x:v>
      </x:c>
      <x:c r="M29" s="10" t="str">
        <x:v>Generic food-composition planning estimate</x:v>
      </x:c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8" hidden="0" customWidth="1"/>
    <x:col min="3" max="3" width="30" hidden="0" customWidth="1"/>
    <x:col min="4" max="4" width="20" hidden="0" customWidth="1"/>
    <x:col min="5" max="5" width="42" hidden="0" customWidth="1"/>
    <x:col min="6" max="6" width="18" hidden="0" customWidth="1"/>
    <x:col min="7" max="7" width="18" hidden="0" customWidth="1"/>
    <x:col min="8" max="8" width="58" hidden="0" customWidth="1"/>
    <x:col min="9" max="9" width="12" hidden="0" customWidth="1"/>
    <x:col min="10" max="10" width="12" hidden="0" customWidth="1"/>
    <x:col min="11" max="11" width="12" hidden="0" customWidth="1"/>
    <x:col min="12" max="12" width="12" hidden="0" customWidth="1"/>
    <x:col min="13" max="13" width="12" hidden="0" customWidth="1"/>
    <x:col min="14" max="14" width="13" hidden="0" customWidth="1"/>
    <x:col min="15" max="15" width="13" hidden="0" customWidth="1"/>
    <x:col min="16" max="16" width="13" hidden="0" customWidth="1"/>
    <x:col min="17" max="17" width="13" hidden="0" customWidth="1"/>
    <x:col min="18" max="18" width="14" hidden="0" customWidth="1"/>
    <x:col min="19" max="19" width="14" hidden="0" customWidth="1"/>
    <x:col min="20" max="20" width="14" hidden="0" customWidth="1"/>
    <x:col min="21" max="21" width="14" hidden="0" customWidth="1"/>
    <x:col min="22" max="22" width="14" hidden="0" customWidth="1"/>
    <x:col min="23" max="23" width="14" hidden="0" customWidth="1"/>
    <x:col min="24" max="24" width="15" hidden="0" customWidth="1"/>
    <x:col min="25" max="25" width="15" hidden="0" customWidth="1"/>
    <x:col min="26" max="26" width="15" hidden="0" customWidth="1"/>
    <x:col min="27" max="27" width="15" hidden="0" customWidth="1"/>
    <x:col min="28" max="28" width="15" hidden="0" customWidth="1"/>
    <x:col min="29" max="29" width="15" hidden="0" customWidth="1"/>
    <x:col min="30" max="30" width="15" hidden="0" customWidth="1"/>
    <x:col min="31" max="31" width="15" hidden="0" customWidth="1"/>
    <x:col min="32" max="32" width="15" hidden="0" customWidth="1"/>
    <x:col min="33" max="33" width="15" hidden="0" customWidth="1"/>
    <x:col min="34" max="34" width="17" hidden="0" customWidth="1"/>
    <x:col min="35" max="35" width="17" hidden="0" customWidth="1"/>
    <x:col min="36" max="36" width="17" hidden="0" customWidth="1"/>
    <x:col min="37" max="37" width="17" hidden="0" customWidth="1"/>
    <x:col min="38" max="38" width="17" hidden="0" customWidth="1"/>
    <x:col min="39" max="39" width="17" hidden="0" customWidth="1"/>
    <x:col min="40" max="40" width="16" hidden="0" customWidth="1"/>
    <x:col min="41" max="41" width="55" hidden="0" customWidth="1"/>
  </x:cols>
  <x:sheetData>
    <x:row r="1">
      <x:c r="A1" s="85" t="str">
        <x:v>Day</x:v>
      </x:c>
      <x:c r="B1" s="85" t="str">
        <x:v>Option</x:v>
      </x:c>
      <x:c r="C1" s="85" t="str">
        <x:v>Breakfast</x:v>
      </x:c>
      <x:c r="D1" s="85" t="str">
        <x:v>Type</x:v>
      </x:c>
      <x:c r="E1" s="85" t="str">
        <x:v>Exact Ingredients</x:v>
      </x:c>
      <x:c r="F1" s="85" t="str">
        <x:v>Morning Cooking</x:v>
      </x:c>
      <x:c r="G1" s="85" t="str">
        <x:v>Night-Before Prep</x:v>
      </x:c>
      <x:c r="H1" s="85" t="str">
        <x:v>Method</x:v>
      </x:c>
      <x:c r="I1" s="85" t="str">
        <x:v>Calories</x:v>
      </x:c>
      <x:c r="J1" s="85" t="str">
        <x:v>Protein g</x:v>
      </x:c>
      <x:c r="K1" s="85" t="str">
        <x:v>Carbs g</x:v>
      </x:c>
      <x:c r="L1" s="85" t="str">
        <x:v>Fiber g</x:v>
      </x:c>
      <x:c r="M1" s="85" t="str">
        <x:v>Fat g</x:v>
      </x:c>
      <x:c r="N1" s="85" t="str">
        <x:v>Calcium mg</x:v>
      </x:c>
      <x:c r="O1" s="85" t="str">
        <x:v>Iron mg</x:v>
      </x:c>
      <x:c r="P1" s="85" t="str">
        <x:v>Magnesium mg</x:v>
      </x:c>
      <x:c r="Q1" s="85" t="str">
        <x:v>Potassium mg</x:v>
      </x:c>
      <x:c r="R1" s="85" t="str">
        <x:v>B12 µg</x:v>
      </x:c>
      <x:c r="S1" s="85" t="str">
        <x:v>Vitamin D µg</x:v>
      </x:c>
      <x:c r="T1" s="85" t="str">
        <x:v>Folate µg DFE</x:v>
      </x:c>
      <x:c r="U1" s="85" t="str">
        <x:v>Omega-3 g</x:v>
      </x:c>
      <x:c r="V1" s="85" t="str">
        <x:v>Sat Fat g</x:v>
      </x:c>
      <x:c r="W1" s="85" t="str">
        <x:v>Preformed Vit A µg RAE</x:v>
      </x:c>
      <x:c r="X1" s="85" t="str">
        <x:v>Vitamin A Total µg RAE</x:v>
      </x:c>
      <x:c r="Y1" s="85" t="str">
        <x:v>Vitamin C mg</x:v>
      </x:c>
      <x:c r="Z1" s="85" t="str">
        <x:v>Vitamin E mg</x:v>
      </x:c>
      <x:c r="AA1" s="85" t="str">
        <x:v>Vitamin K µg</x:v>
      </x:c>
      <x:c r="AB1" s="85" t="str">
        <x:v>B1 mg</x:v>
      </x:c>
      <x:c r="AC1" s="85" t="str">
        <x:v>B2 mg</x:v>
      </x:c>
      <x:c r="AD1" s="85" t="str">
        <x:v>B3 mg</x:v>
      </x:c>
      <x:c r="AE1" s="85" t="str">
        <x:v>B5 mg</x:v>
      </x:c>
      <x:c r="AF1" s="85" t="str">
        <x:v>B6 mg</x:v>
      </x:c>
      <x:c r="AG1" s="85" t="str">
        <x:v>B7 Biotin µg est.</x:v>
      </x:c>
      <x:c r="AH1" s="85" t="str">
        <x:v>Projected Daily Calories</x:v>
      </x:c>
      <x:c r="AI1" s="85" t="str">
        <x:v>Projected Daily Protein g</x:v>
      </x:c>
      <x:c r="AJ1" s="85" t="str">
        <x:v>Projected Daily Fiber g</x:v>
      </x:c>
      <x:c r="AK1" s="85" t="str">
        <x:v>Projected Daily Calcium mg</x:v>
      </x:c>
      <x:c r="AL1" s="85" t="str">
        <x:v>Projected Daily B12 µg</x:v>
      </x:c>
      <x:c r="AM1" s="85" t="str">
        <x:v>Projected Daily Omega-3 g</x:v>
      </x:c>
      <x:c r="AN1" s="85" t="str">
        <x:v>Core Target Status</x:v>
      </x:c>
      <x:c r="AO1" s="85" t="str">
        <x:v>Notes</x:v>
      </x:c>
    </x:row>
    <x:row r="2">
      <x:c r="A2" s="10" t="str">
        <x:v>Day 1</x:v>
      </x:c>
      <x:c r="B2" s="10" t="n">
        <x:v>1</x:v>
      </x:c>
      <x:c r="C2" s="10" t="str">
        <x:v>Warm Oats + Eggs + Separate Seed Side</x:v>
      </x:c>
      <x:c r="D2" s="10" t="str">
        <x:v>Recommended cooked</x:v>
      </x:c>
      <x:c r="E2" s="10" t="str">
        <x:v>Oats 45 g
Low-fat milk 300 ml
Whole eggs 1
Egg whites 100 g
Mushrooms [CF] 100 g
SEPARATE SEED SIDE:
Chia seeds 8 g
Ground flaxseed 7 g
Hemp hearts 5 g
No added salt; no onion/garlic in this milk-containing meal
Do not mix seeds into the milk/grain bowl</x:v>
      </x:c>
      <x:c r="F2" s="10" t="str">
        <x:v>Cook grain/eggs</x:v>
      </x:c>
      <x:c r="G2" s="10" t="str">
        <x:v>Optional seed pre-portion</x:v>
      </x:c>
      <x:c r="H2" s="10" t="str">
        <x:v>Cook the listed oats/ragi with milk. Cook or use batch-prepared eggs/egg whites separately. Eat the measured seed mix from a separate small bowl/container; do not stir it into the milk/grain meal.</x:v>
      </x:c>
      <x:c r="I2" s="10" t="n">
        <x:v>546</x:v>
      </x:c>
      <x:c r="J2" s="10" t="n">
        <x:v>40.6</x:v>
      </x:c>
      <x:c r="K2" s="10" t="n">
        <x:v>55.7</x:v>
      </x:c>
      <x:c r="L2" s="10" t="n">
        <x:v>10.4</x:v>
      </x:c>
      <x:c r="M2" s="10" t="n">
        <x:v>19</x:v>
      </x:c>
      <x:c r="N2" s="10" t="n">
        <x:v>508.3</x:v>
      </x:c>
      <x:c r="O2" s="10" t="n">
        <x:v>4.9</x:v>
      </x:c>
      <x:c r="P2" s="10" t="n">
        <x:v>210.4</x:v>
      </x:c>
      <x:c r="Q2" s="10" t="n">
        <x:v>1312.4</x:v>
      </x:c>
      <x:c r="R2" s="10" t="n">
        <x:v>1.9</x:v>
      </x:c>
      <x:c r="S2" s="10" t="n">
        <x:v>4.8</x:v>
      </x:c>
      <x:c r="T2" s="10" t="n">
        <x:v>100.2</x:v>
      </x:c>
      <x:c r="U2" s="10" t="n">
        <x:v>3.73</x:v>
      </x:c>
      <x:c r="V2" s="10" t="n">
        <x:v>4.8</x:v>
      </x:c>
      <x:c r="W2" s="10" t="n">
        <x:v>218</x:v>
      </x:c>
      <x:c r="X2" s="10" t="n">
        <x:v>218.3</x:v>
      </x:c>
      <x:c r="Y2" s="10" t="n">
        <x:v>2.3</x:v>
      </x:c>
      <x:c r="Z2" s="10" t="n">
        <x:v>0.98</x:v>
      </x:c>
      <x:c r="AA2" s="10" t="n">
        <x:v>2.3</x:v>
      </x:c>
      <x:c r="AB2" s="10" t="n">
        <x:v>0.81</x:v>
      </x:c>
      <x:c r="AC2" s="10" t="n">
        <x:v>1.72</x:v>
      </x:c>
      <x:c r="AD2" s="10" t="n">
        <x:v>5.85</x:v>
      </x:c>
      <x:c r="AE2" s="10" t="n">
        <x:v>4.22</x:v>
      </x:c>
      <x:c r="AF2" s="10" t="n">
        <x:v>0.45</x:v>
      </x:c>
      <x:c r="AG2" s="10" t="n">
        <x:v>36.5</x:v>
      </x:c>
      <x:c r="AH2" s="10" t="n">
        <x:v>1772.9</x:v>
      </x:c>
      <x:c r="AI2" s="10" t="n">
        <x:v>120.3</x:v>
      </x:c>
      <x:c r="AJ2" s="10" t="n">
        <x:v>38.2</x:v>
      </x:c>
      <x:c r="AK2" s="10" t="n">
        <x:v>1009.3</x:v>
      </x:c>
      <x:c r="AL2" s="10" t="n">
        <x:v>2.5</x:v>
      </x:c>
      <x:c r="AM2" s="10" t="n">
        <x:v>4.73</x:v>
      </x:c>
      <x:c r="AN2" s="10" t="str">
        <x:v>PASS</x:v>
      </x:c>
      <x:c r="AO2" s="10" t="str">
        <x:v>Option 4 is no-cook in the morning. Vitamin D remains the existing food-only gap; Vitamin E is improved by sunflower rotation but remains below the 15 mg RDA in the generic model.</x:v>
      </x:c>
    </x:row>
    <x:row r="3">
      <x:c r="A3" s="10" t="str">
        <x:v>Day 1</x:v>
      </x:c>
      <x:c r="B3" s="10" t="n">
        <x:v>2</x:v>
      </x:c>
      <x:c r="C3" s="10" t="str">
        <x:v>Unsalted Ragi-Moong Chilla + Milk + Egg</x:v>
      </x:c>
      <x:c r="D3" s="10" t="str">
        <x:v>Indian cooked variety</x:v>
      </x:c>
      <x:c r="E3" s="10" t="str">
        <x:v>Ragi flour 25 g
Moong dal (dry) 25 g
Low-fat milk 275 ml
Whole eggs 1
Egg whites 50 g
Cooking oil 2 g
SEPARATE SEED SIDE:
Chia seeds 8 g
Ground flaxseed 7 g
Hemp hearts 5 g
No added salt; no onion/garlic because milk is part of this breakfast</x:v>
      </x:c>
      <x:c r="F3" s="10" t="str">
        <x:v>6–10 min cooking</x:v>
      </x:c>
      <x:c r="G3" s="10" t="str">
        <x:v>Soak moong / use batch batter</x:v>
      </x:c>
      <x:c r="H3" s="10" t="str">
        <x:v>Use soaked/batch-ground moong with ragi and permitted salt-free spices to make thin chillas with exactly 2 g oil. Serve milk, egg/egg whites and the seed side separately. No added salt/onion/garlic.</x:v>
      </x:c>
      <x:c r="I3" s="10" t="n">
        <x:v>506.2</x:v>
      </x:c>
      <x:c r="J3" s="10" t="n">
        <x:v>33</x:v>
      </x:c>
      <x:c r="K3" s="10" t="n">
        <x:v>53.9</x:v>
      </x:c>
      <x:c r="L3" s="10" t="n">
        <x:v>11.8</x:v>
      </x:c>
      <x:c r="M3" s="10" t="n">
        <x:v>18</x:v>
      </x:c>
      <x:c r="N3" s="10" t="n">
        <x:v>566.1</x:v>
      </x:c>
      <x:c r="O3" s="10" t="n">
        <x:v>5.1</x:v>
      </x:c>
      <x:c r="P3" s="10" t="n">
        <x:v>212.5</x:v>
      </x:c>
      <x:c r="Q3" s="10" t="n">
        <x:v>1126</x:v>
      </x:c>
      <x:c r="R3" s="10" t="n">
        <x:v>1.83</x:v>
      </x:c>
      <x:c r="S3" s="10" t="n">
        <x:v>4.4</x:v>
      </x:c>
      <x:c r="T3" s="10" t="n">
        <x:v>220.3</x:v>
      </x:c>
      <x:c r="U3" s="10" t="n">
        <x:v>3.65</x:v>
      </x:c>
      <x:c r="V3" s="10" t="n">
        <x:v>4.49</x:v>
      </x:c>
      <x:c r="W3" s="10" t="n">
        <x:v>206.5</x:v>
      </x:c>
      <x:c r="X3" s="10" t="n">
        <x:v>208.3</x:v>
      </x:c>
      <x:c r="Y3" s="10" t="n">
        <x:v>1.4</x:v>
      </x:c>
      <x:c r="Z3" s="10" t="n">
        <x:v>0.95</x:v>
      </x:c>
      <x:c r="AA3" s="10" t="n">
        <x:v>3.5</x:v>
      </x:c>
      <x:c r="AB3" s="10" t="n">
        <x:v>0.63</x:v>
      </x:c>
      <x:c r="AC3" s="10" t="n">
        <x:v>1.1</x:v>
      </x:c>
      <x:c r="AD3" s="10" t="n">
        <x:v>2.57</x:v>
      </x:c>
      <x:c r="AE3" s="10" t="n">
        <x:v>2.54</x:v>
      </x:c>
      <x:c r="AF3" s="10" t="n">
        <x:v>0.46</x:v>
      </x:c>
      <x:c r="AG3" s="10" t="n">
        <x:v>13.6</x:v>
      </x:c>
      <x:c r="AH3" s="10" t="n">
        <x:v>1733.1</x:v>
      </x:c>
      <x:c r="AI3" s="10" t="n">
        <x:v>112.7</x:v>
      </x:c>
      <x:c r="AJ3" s="10" t="n">
        <x:v>39.6</x:v>
      </x:c>
      <x:c r="AK3" s="10" t="n">
        <x:v>1067.1</x:v>
      </x:c>
      <x:c r="AL3" s="10" t="n">
        <x:v>2.43</x:v>
      </x:c>
      <x:c r="AM3" s="10" t="n">
        <x:v>4.65</x:v>
      </x:c>
      <x:c r="AN3" s="10" t="str">
        <x:v>PASS</x:v>
      </x:c>
      <x:c r="AO3" s="10" t="str">
        <x:v>Option 4 is no-cook in the morning. Vitamin D remains the existing food-only gap; Vitamin E is improved by sunflower rotation but remains below the 15 mg RDA in the generic model.</x:v>
      </x:c>
    </x:row>
    <x:row r="4">
      <x:c r="A4" s="10" t="str">
        <x:v>Day 1</x:v>
      </x:c>
      <x:c r="B4" s="10" t="n">
        <x:v>3</x:v>
      </x:c>
      <x:c r="C4" s="10" t="str">
        <x:v>Unsalted Poha-Moong Egg Bowl + Milk</x:v>
      </x:c>
      <x:c r="D4" s="10" t="str">
        <x:v>Indian cooked variety</x:v>
      </x:c>
      <x:c r="E4" s="10" t="str">
        <x:v>Thick poha / flattened rice (dry) 25 g
Moong dal (dry) 20 g
Frozen sweet peas [CF] 50 g
Low-fat milk 285 ml
Whole eggs 1
Egg whites 50 g
Cooking oil 2 g
SEPARATE SEED SIDE:
Chia seeds 8 g
Ground flaxseed 7 g
Hemp hearts 5 g
No added salt; no onion/garlic because milk is part of this breakfast</x:v>
      </x:c>
      <x:c r="F4" s="10" t="str">
        <x:v>6–10 min cooking</x:v>
      </x:c>
      <x:c r="G4" s="10" t="str">
        <x:v>Use batch-cooked moong if desired</x:v>
      </x:c>
      <x:c r="H4" s="10" t="str">
        <x:v>Soften poha, fold in cooked moong and peas, and heat with permitted salt-free spices using exactly 2 g oil. Serve milk and eggs separately. Eat the seed mix separately. No added salt/onion/garlic.</x:v>
      </x:c>
      <x:c r="I4" s="10" t="n">
        <x:v>537</x:v>
      </x:c>
      <x:c r="J4" s="10" t="n">
        <x:v>34.7</x:v>
      </x:c>
      <x:c r="K4" s="10" t="n">
        <x:v>59.8</x:v>
      </x:c>
      <x:c r="L4" s="10" t="n">
        <x:v>11.4</x:v>
      </x:c>
      <x:c r="M4" s="10" t="n">
        <x:v>18.2</x:v>
      </x:c>
      <x:c r="N4" s="10" t="n">
        <x:v>503.5</x:v>
      </x:c>
      <x:c r="O4" s="10" t="n">
        <x:v>4.8</x:v>
      </x:c>
      <x:c r="P4" s="10" t="n">
        <x:v>195.1</x:v>
      </x:c>
      <x:c r="Q4" s="10" t="n">
        <x:v>1126.2</x:v>
      </x:c>
      <x:c r="R4" s="10" t="n">
        <x:v>1.88</x:v>
      </x:c>
      <x:c r="S4" s="10" t="n">
        <x:v>4.52</x:v>
      </x:c>
      <x:c r="T4" s="10" t="n">
        <x:v>215.8</x:v>
      </x:c>
      <x:c r="U4" s="10" t="n">
        <x:v>3.66</x:v>
      </x:c>
      <x:c r="V4" s="10" t="n">
        <x:v>4.55</x:v>
      </x:c>
      <x:c r="W4" s="10" t="n">
        <x:v>211.1</x:v>
      </x:c>
      <x:c r="X4" s="10" t="n">
        <x:v>231.6</x:v>
      </x:c>
      <x:c r="Y4" s="10" t="n">
        <x:v>21.2</x:v>
      </x:c>
      <x:c r="Z4" s="10" t="n">
        <x:v>0.97</x:v>
      </x:c>
      <x:c r="AA4" s="10" t="n">
        <x:v>15.5</x:v>
      </x:c>
      <x:c r="AB4" s="10" t="n">
        <x:v>0.66</x:v>
      </x:c>
      <x:c r="AC4" s="10" t="n">
        <x:v>1.13</x:v>
      </x:c>
      <x:c r="AD4" s="10" t="n">
        <x:v>3.64</x:v>
      </x:c>
      <x:c r="AE4" s="10" t="n">
        <x:v>2.61</x:v>
      </x:c>
      <x:c r="AF4" s="10" t="n">
        <x:v>0.48</x:v>
      </x:c>
      <x:c r="AG4" s="10" t="n">
        <x:v>13.8</x:v>
      </x:c>
      <x:c r="AH4" s="10" t="n">
        <x:v>1763.9</x:v>
      </x:c>
      <x:c r="AI4" s="10" t="n">
        <x:v>114.4</x:v>
      </x:c>
      <x:c r="AJ4" s="10" t="n">
        <x:v>39.2</x:v>
      </x:c>
      <x:c r="AK4" s="10" t="n">
        <x:v>1004.5</x:v>
      </x:c>
      <x:c r="AL4" s="10" t="n">
        <x:v>2.48</x:v>
      </x:c>
      <x:c r="AM4" s="10" t="n">
        <x:v>4.66</x:v>
      </x:c>
      <x:c r="AN4" s="10" t="str">
        <x:v>PASS</x:v>
      </x:c>
      <x:c r="AO4" s="10" t="str">
        <x:v>Option 4 is no-cook in the morning. Vitamin D remains the existing food-only gap; Vitamin E is improved by sunflower rotation but remains below the 15 mg RDA in the generic model.</x:v>
      </x:c>
    </x:row>
    <x:row r="5">
      <x:c r="A5" s="10" t="str">
        <x:v>Day 1</x:v>
      </x:c>
      <x:c r="B5" s="10" t="n">
        <x:v>4</x:v>
      </x:c>
      <x:c r="C5" s="10" t="str">
        <x:v>Overnight No-Cook Breakfast Jar + Pre-Cooked Eggs</x:v>
      </x:c>
      <x:c r="D5" s="10" t="str">
        <x:v>NO-COOK MORNING</x:v>
      </x:c>
      <x:c r="E5" s="10" t="str">
        <x:v>Rolled oats 40 g
Ready-to-eat / steam-processed ragi flakes 10 g
Low-fat milk 300 ml
Whole eggs 1
Batch-cooked egg whites 100 g
SEPARATE SEED SIDE:
Chia seeds 8 g
Ground flaxseed 7 g
Hemp hearts 5 g
No added salt; no onion/garlic
Use RTE/steam-processed ragi flakes only — not raw ragi flour</x:v>
      </x:c>
      <x:c r="F5" s="10" t="str">
        <x:v>0 min cooking</x:v>
      </x:c>
      <x:c r="G5" s="10" t="str">
        <x:v>2–3 min assembly; refrigerate ≥6 h</x:v>
      </x:c>
      <x:c r="H5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5" s="10" t="n">
        <x:v>543.1</x:v>
      </x:c>
      <x:c r="J5" s="10" t="n">
        <x:v>39</x:v>
      </x:c>
      <x:c r="K5" s="10" t="n">
        <x:v>55.6</x:v>
      </x:c>
      <x:c r="L5" s="10" t="n">
        <x:v>10.3</x:v>
      </x:c>
      <x:c r="M5" s="10" t="n">
        <x:v>18.6</x:v>
      </x:c>
      <x:c r="N5" s="10" t="n">
        <x:v>537.8</x:v>
      </x:c>
      <x:c r="O5" s="10" t="n">
        <x:v>4.8</x:v>
      </x:c>
      <x:c r="P5" s="10" t="n">
        <x:v>223.7</x:v>
      </x:c>
      <x:c r="Q5" s="10" t="n">
        <x:v>1043.9</x:v>
      </x:c>
      <x:c r="R5" s="10" t="n">
        <x:v>1.99</x:v>
      </x:c>
      <x:c r="S5" s="10" t="n">
        <x:v>4.7</x:v>
      </x:c>
      <x:c r="T5" s="10" t="n">
        <x:v>84.4</x:v>
      </x:c>
      <x:c r="U5" s="10" t="n">
        <x:v>3.67</x:v>
      </x:c>
      <x:c r="V5" s="10" t="n">
        <x:v>4.73</x:v>
      </x:c>
      <x:c r="W5" s="10" t="n">
        <x:v>218</x:v>
      </x:c>
      <x:c r="X5" s="10" t="n">
        <x:v>218.3</x:v>
      </x:c>
      <x:c r="Y5" s="10" t="n">
        <x:v>0.2</x:v>
      </x:c>
      <x:c r="Z5" s="10" t="n">
        <x:v>0.97</x:v>
      </x:c>
      <x:c r="AA5" s="10" t="n">
        <x:v>2.2</x:v>
      </x:c>
      <x:c r="AB5" s="10" t="n">
        <x:v>0.73</x:v>
      </x:c>
      <x:c r="AC5" s="10" t="n">
        <x:v>1.33</x:v>
      </x:c>
      <x:c r="AD5" s="10" t="n">
        <x:v>2.3</x:v>
      </x:c>
      <x:c r="AE5" s="10" t="n">
        <x:v>2.72</x:v>
      </x:c>
      <x:c r="AF5" s="10" t="n">
        <x:v>0.37</x:v>
      </x:c>
      <x:c r="AG5" s="10" t="n">
        <x:v>19.7</x:v>
      </x:c>
      <x:c r="AH5" s="10" t="n">
        <x:v>1770</x:v>
      </x:c>
      <x:c r="AI5" s="10" t="n">
        <x:v>118.7</x:v>
      </x:c>
      <x:c r="AJ5" s="10" t="n">
        <x:v>38.1</x:v>
      </x:c>
      <x:c r="AK5" s="10" t="n">
        <x:v>1038.8</x:v>
      </x:c>
      <x:c r="AL5" s="10" t="n">
        <x:v>2.59</x:v>
      </x:c>
      <x:c r="AM5" s="10" t="n">
        <x:v>4.67</x:v>
      </x:c>
      <x:c r="AN5" s="10" t="str">
        <x:v>PASS</x:v>
      </x:c>
      <x:c r="AO5" s="10" t="str">
        <x:v>Option 4 is no-cook in the morning. Vitamin D remains the existing food-only gap; Vitamin E is improved by sunflower rotation but remains below the 15 mg RDA in the generic model.</x:v>
      </x:c>
    </x:row>
    <x:row r="6">
      <x:c r="A6" s="10" t="str">
        <x:v>Day 2</x:v>
      </x:c>
      <x:c r="B6" s="10" t="n">
        <x:v>1</x:v>
      </x:c>
      <x:c r="C6" s="10" t="str">
        <x:v>Ragi Milk Porridge + Eggs + Separate Seed Side</x:v>
      </x:c>
      <x:c r="D6" s="10" t="str">
        <x:v>Recommended cooked</x:v>
      </x:c>
      <x:c r="E6" s="10" t="str">
        <x:v>Ragi flour 45 g
Low-fat milk 300 ml
Whole eggs 1
Egg whites 50 g
SEPARATE SEED SIDE:
Sesame seeds 5 g
Hemp hearts 5 g
Chia seeds 5 g
No added salt; no onion/garlic in this milk-containing meal
Do not mix seeds into the milk/ragi bowl</x:v>
      </x:c>
      <x:c r="F6" s="10" t="str">
        <x:v>Cook grain/eggs</x:v>
      </x:c>
      <x:c r="G6" s="10" t="str">
        <x:v>Optional seed pre-portion</x:v>
      </x:c>
      <x:c r="H6" s="10" t="str">
        <x:v>Cook the listed oats/ragi with milk. Cook or use batch-prepared eggs/egg whites separately. Eat the measured seed mix from a separate small bowl/container; do not stir it into the milk/grain meal.</x:v>
      </x:c>
      <x:c r="I6" s="10" t="n">
        <x:v>455.3</x:v>
      </x:c>
      <x:c r="J6" s="10" t="n">
        <x:v>28.5</x:v>
      </x:c>
      <x:c r="K6" s="10" t="n">
        <x:v>51.9</x:v>
      </x:c>
      <x:c r="L6" s="10" t="n">
        <x:v>7.7</x:v>
      </x:c>
      <x:c r="M6" s="10" t="n">
        <x:v>14.9</x:v>
      </x:c>
      <x:c r="N6" s="10" t="n">
        <x:v>645.1</x:v>
      </x:c>
      <x:c r="O6" s="10" t="n">
        <x:v>4.3</x:v>
      </x:c>
      <x:c r="P6" s="10" t="n">
        <x:v>175.4</x:v>
      </x:c>
      <x:c r="Q6" s="10" t="n">
        <x:v>887.9</x:v>
      </x:c>
      <x:c r="R6" s="10" t="n">
        <x:v>1.8</x:v>
      </x:c>
      <x:c r="S6" s="10" t="n">
        <x:v>4.6</x:v>
      </x:c>
      <x:c r="T6" s="10" t="n">
        <x:v>72.2</x:v>
      </x:c>
      <x:c r="U6" s="10" t="n">
        <x:v>1.62</x:v>
      </x:c>
      <x:c r="V6" s="10" t="n">
        <x:v>4.33</x:v>
      </x:c>
      <x:c r="W6" s="10" t="n">
        <x:v>218</x:v>
      </x:c>
      <x:c r="X6" s="10" t="n">
        <x:v>218.2</x:v>
      </x:c>
      <x:c r="Y6" s="10" t="n">
        <x:v>0.1</x:v>
      </x:c>
      <x:c r="Z6" s="10" t="n">
        <x:v>0.85</x:v>
      </x:c>
      <x:c r="AA6" s="10" t="n">
        <x:v>1.1</x:v>
      </x:c>
      <x:c r="AB6" s="10" t="n">
        <x:v>0.48</x:v>
      </x:c>
      <x:c r="AC6" s="10" t="n">
        <x:v>1.12</x:v>
      </x:c>
      <x:c r="AD6" s="10" t="n">
        <x:v>1.99</x:v>
      </x:c>
      <x:c r="AE6" s="10" t="n">
        <x:v>2.18</x:v>
      </x:c>
      <x:c r="AF6" s="10" t="n">
        <x:v>0.46</x:v>
      </x:c>
      <x:c r="AG6" s="10" t="n">
        <x:v>12.1</x:v>
      </x:c>
      <x:c r="AH6" s="10" t="n">
        <x:v>1810.9</x:v>
      </x:c>
      <x:c r="AI6" s="10" t="n">
        <x:v>124.3</x:v>
      </x:c>
      <x:c r="AJ6" s="10" t="n">
        <x:v>47.7</x:v>
      </x:c>
      <x:c r="AK6" s="10" t="n">
        <x:v>1271.7</x:v>
      </x:c>
      <x:c r="AL6" s="10" t="n">
        <x:v>3.2</x:v>
      </x:c>
      <x:c r="AM6" s="10" t="n">
        <x:v>2.42</x:v>
      </x:c>
      <x:c r="AN6" s="10" t="str">
        <x:v>PASS</x:v>
      </x:c>
      <x:c r="AO6" s="10" t="str">
        <x:v>Option 4 is no-cook in the morning. Vitamin D remains the existing food-only gap; Vitamin E is improved by sunflower rotation but remains below the 15 mg RDA in the generic model.</x:v>
      </x:c>
    </x:row>
    <x:row r="7">
      <x:c r="A7" s="10" t="str">
        <x:v>Day 2</x:v>
      </x:c>
      <x:c r="B7" s="10" t="n">
        <x:v>2</x:v>
      </x:c>
      <x:c r="C7" s="10" t="str">
        <x:v>Unsalted Ragi-Moong Chilla + Milk + Egg</x:v>
      </x:c>
      <x:c r="D7" s="10" t="str">
        <x:v>Indian cooked variety</x:v>
      </x:c>
      <x:c r="E7" s="10" t="str">
        <x:v>Ragi flour 25 g
Moong dal (dry) 25 g
Low-fat milk 275 ml
Whole eggs 1
Egg whites 50 g
Cooking oil 2 g
SEPARATE SEED SIDE:
Sesame seeds 5 g
Hemp hearts 5 g
Chia seeds 5 g
No added salt; no onion/garlic because milk is part of this breakfast</x:v>
      </x:c>
      <x:c r="F7" s="10" t="str">
        <x:v>6–10 min cooking</x:v>
      </x:c>
      <x:c r="G7" s="10" t="str">
        <x:v>Soak moong / use batch batter</x:v>
      </x:c>
      <x:c r="H7" s="10" t="str">
        <x:v>Use soaked/batch-ground moong with ragi and permitted salt-free spices to make thin chillas with exactly 2 g oil. Serve milk, egg/egg whites and the seed side separately. No added salt/onion/garlic.</x:v>
      </x:c>
      <x:c r="I7" s="10" t="n">
        <x:v>482.8</x:v>
      </x:c>
      <x:c r="J7" s="10" t="n">
        <x:v>32.1</x:v>
      </x:c>
      <x:c r="K7" s="10" t="n">
        <x:v>51.8</x:v>
      </x:c>
      <x:c r="L7" s="10" t="n">
        <x:v>9.5</x:v>
      </x:c>
      <x:c r="M7" s="10" t="n">
        <x:v>16.6</x:v>
      </x:c>
      <x:c r="N7" s="10" t="n">
        <x:v>578</x:v>
      </x:c>
      <x:c r="O7" s="10" t="n">
        <x:v>5.2</x:v>
      </x:c>
      <x:c r="P7" s="10" t="n">
        <x:v>192.6</x:v>
      </x:c>
      <x:c r="Q7" s="10" t="n">
        <x:v>1080.2</x:v>
      </x:c>
      <x:c r="R7" s="10" t="n">
        <x:v>1.83</x:v>
      </x:c>
      <x:c r="S7" s="10" t="n">
        <x:v>4.4</x:v>
      </x:c>
      <x:c r="T7" s="10" t="n">
        <x:v>217.5</x:v>
      </x:c>
      <x:c r="U7" s="10" t="n">
        <x:v>1.54</x:v>
      </x:c>
      <x:c r="V7" s="10" t="n">
        <x:v>4.48</x:v>
      </x:c>
      <x:c r="W7" s="10" t="n">
        <x:v>206.5</x:v>
      </x:c>
      <x:c r="X7" s="10" t="n">
        <x:v>208.2</x:v>
      </x:c>
      <x:c r="Y7" s="10" t="n">
        <x:v>1.3</x:v>
      </x:c>
      <x:c r="Z7" s="10" t="n">
        <x:v>0.93</x:v>
      </x:c>
      <x:c r="AA7" s="10" t="n">
        <x:v>3.2</x:v>
      </x:c>
      <x:c r="AB7" s="10" t="n">
        <x:v>0.54</x:v>
      </x:c>
      <x:c r="AC7" s="10" t="n">
        <x:v>1.09</x:v>
      </x:c>
      <x:c r="AD7" s="10" t="n">
        <x:v>2.32</x:v>
      </x:c>
      <x:c r="AE7" s="10" t="n">
        <x:v>2.46</x:v>
      </x:c>
      <x:c r="AF7" s="10" t="n">
        <x:v>0.47</x:v>
      </x:c>
      <x:c r="AG7" s="10" t="n">
        <x:v>13.4</x:v>
      </x:c>
      <x:c r="AH7" s="10" t="n">
        <x:v>1838.5</x:v>
      </x:c>
      <x:c r="AI7" s="10" t="n">
        <x:v>127.9</x:v>
      </x:c>
      <x:c r="AJ7" s="10" t="n">
        <x:v>49.5</x:v>
      </x:c>
      <x:c r="AK7" s="10" t="n">
        <x:v>1204.6</x:v>
      </x:c>
      <x:c r="AL7" s="10" t="n">
        <x:v>3.23</x:v>
      </x:c>
      <x:c r="AM7" s="10" t="n">
        <x:v>2.34</x:v>
      </x:c>
      <x:c r="AN7" s="10" t="str">
        <x:v>PASS</x:v>
      </x:c>
      <x:c r="AO7" s="10" t="str">
        <x:v>Option 4 is no-cook in the morning. Vitamin D remains the existing food-only gap; Vitamin E is improved by sunflower rotation but remains below the 15 mg RDA in the generic model.</x:v>
      </x:c>
    </x:row>
    <x:row r="8">
      <x:c r="A8" s="10" t="str">
        <x:v>Day 2</x:v>
      </x:c>
      <x:c r="B8" s="10" t="n">
        <x:v>3</x:v>
      </x:c>
      <x:c r="C8" s="10" t="str">
        <x:v>Unsalted Poha-Moong Egg Bowl + Milk</x:v>
      </x:c>
      <x:c r="D8" s="10" t="str">
        <x:v>Indian cooked variety</x:v>
      </x:c>
      <x:c r="E8" s="10" t="str">
        <x:v>Thick poha / flattened rice (dry) 25 g
Moong dal (dry) 20 g
Frozen sweet peas [CF] 50 g
Low-fat milk 275 ml
Whole eggs 1
Egg whites 50 g
Cooking oil 2 g
SEPARATE SEED SIDE:
Sesame seeds 5 g
Hemp hearts 5 g
Chia seeds 5 g
No added salt; no onion/garlic because milk is part of this breakfast</x:v>
      </x:c>
      <x:c r="F8" s="10" t="str">
        <x:v>6–10 min cooking</x:v>
      </x:c>
      <x:c r="G8" s="10" t="str">
        <x:v>Use batch-cooked moong if desired</x:v>
      </x:c>
      <x:c r="H8" s="10" t="str">
        <x:v>Soften poha, fold in cooked moong and peas, and heat with permitted salt-free spices using exactly 2 g oil. Serve milk and eggs separately. Eat the seed mix separately. No added salt/onion/garlic.</x:v>
      </x:c>
      <x:c r="I8" s="10" t="n">
        <x:v>509.5</x:v>
      </x:c>
      <x:c r="J8" s="10" t="n">
        <x:v>33.5</x:v>
      </x:c>
      <x:c r="K8" s="10" t="n">
        <x:v>57.2</x:v>
      </x:c>
      <x:c r="L8" s="10" t="n">
        <x:v>9.1</x:v>
      </x:c>
      <x:c r="M8" s="10" t="n">
        <x:v>16.7</x:v>
      </x:c>
      <x:c r="N8" s="10" t="n">
        <x:v>502.9</x:v>
      </x:c>
      <x:c r="O8" s="10" t="n">
        <x:v>4.9</x:v>
      </x:c>
      <x:c r="P8" s="10" t="n">
        <x:v>174.1</x:v>
      </x:c>
      <x:c r="Q8" s="10" t="n">
        <x:v>1065.4</x:v>
      </x:c>
      <x:c r="R8" s="10" t="n">
        <x:v>1.83</x:v>
      </x:c>
      <x:c r="S8" s="10" t="n">
        <x:v>4.4</x:v>
      </x:c>
      <x:c r="T8" s="10" t="n">
        <x:v>212.5</x:v>
      </x:c>
      <x:c r="U8" s="10" t="n">
        <x:v>1.55</x:v>
      </x:c>
      <x:c r="V8" s="10" t="n">
        <x:v>4.48</x:v>
      </x:c>
      <x:c r="W8" s="10" t="n">
        <x:v>206.5</x:v>
      </x:c>
      <x:c r="X8" s="10" t="n">
        <x:v>226.9</x:v>
      </x:c>
      <x:c r="Y8" s="10" t="n">
        <x:v>21.1</x:v>
      </x:c>
      <x:c r="Z8" s="10" t="n">
        <x:v>0.94</x:v>
      </x:c>
      <x:c r="AA8" s="10" t="n">
        <x:v>15.2</x:v>
      </x:c>
      <x:c r="AB8" s="10" t="n">
        <x:v>0.56</x:v>
      </x:c>
      <x:c r="AC8" s="10" t="n">
        <x:v>1.11</x:v>
      </x:c>
      <x:c r="AD8" s="10" t="n">
        <x:v>3.37</x:v>
      </x:c>
      <x:c r="AE8" s="10" t="n">
        <x:v>2.5</x:v>
      </x:c>
      <x:c r="AF8" s="10" t="n">
        <x:v>0.48</x:v>
      </x:c>
      <x:c r="AG8" s="10" t="n">
        <x:v>13.6</x:v>
      </x:c>
      <x:c r="AH8" s="10" t="n">
        <x:v>1865.1</x:v>
      </x:c>
      <x:c r="AI8" s="10" t="n">
        <x:v>129.3</x:v>
      </x:c>
      <x:c r="AJ8" s="10" t="n">
        <x:v>49.1</x:v>
      </x:c>
      <x:c r="AK8" s="10" t="n">
        <x:v>1129.5</x:v>
      </x:c>
      <x:c r="AL8" s="10" t="n">
        <x:v>3.23</x:v>
      </x:c>
      <x:c r="AM8" s="10" t="n">
        <x:v>2.35</x:v>
      </x:c>
      <x:c r="AN8" s="10" t="str">
        <x:v>PASS</x:v>
      </x:c>
      <x:c r="AO8" s="10" t="str">
        <x:v>Option 4 is no-cook in the morning. Vitamin D remains the existing food-only gap; Vitamin E is improved by sunflower rotation but remains below the 15 mg RDA in the generic model.</x:v>
      </x:c>
    </x:row>
    <x:row r="9">
      <x:c r="A9" s="10" t="str">
        <x:v>Day 2</x:v>
      </x:c>
      <x:c r="B9" s="10" t="n">
        <x:v>4</x:v>
      </x:c>
      <x:c r="C9" s="10" t="str">
        <x:v>Overnight No-Cook Breakfast Jar + Pre-Cooked Eggs</x:v>
      </x:c>
      <x:c r="D9" s="10" t="str">
        <x:v>NO-COOK MORNING</x:v>
      </x:c>
      <x:c r="E9" s="10" t="str">
        <x:v>Ready-to-eat / steam-processed ragi flakes 45 g
Low-fat milk 300 ml
Whole eggs 1
Batch-cooked egg whites 50 g
SEPARATE SEED SIDE:
Sesame seeds 5 g
Hemp hearts 5 g
Chia seeds 5 g
No added salt; no onion/garlic
Use RTE/steam-processed ragi flakes only — not raw ragi flour</x:v>
      </x:c>
      <x:c r="F9" s="10" t="str">
        <x:v>0 min cooking</x:v>
      </x:c>
      <x:c r="G9" s="10" t="str">
        <x:v>2–3 min assembly; refrigerate ≥6 h</x:v>
      </x:c>
      <x:c r="H9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9" s="10" t="n">
        <x:v>455.8</x:v>
      </x:c>
      <x:c r="J9" s="10" t="n">
        <x:v>28.4</x:v>
      </x:c>
      <x:c r="K9" s="10" t="n">
        <x:v>51.8</x:v>
      </x:c>
      <x:c r="L9" s="10" t="n">
        <x:v>7.7</x:v>
      </x:c>
      <x:c r="M9" s="10" t="n">
        <x:v>14.8</x:v>
      </x:c>
      <x:c r="N9" s="10" t="n">
        <x:v>645.1</x:v>
      </x:c>
      <x:c r="O9" s="10" t="n">
        <x:v>4.3</x:v>
      </x:c>
      <x:c r="P9" s="10" t="n">
        <x:v>175.4</x:v>
      </x:c>
      <x:c r="Q9" s="10" t="n">
        <x:v>887.9</x:v>
      </x:c>
      <x:c r="R9" s="10" t="n">
        <x:v>1.95</x:v>
      </x:c>
      <x:c r="S9" s="10" t="n">
        <x:v>4.7</x:v>
      </x:c>
      <x:c r="T9" s="10" t="n">
        <x:v>69.6</x:v>
      </x:c>
      <x:c r="U9" s="10" t="n">
        <x:v>1.53</x:v>
      </x:c>
      <x:c r="V9" s="10" t="n">
        <x:v>4.33</x:v>
      </x:c>
      <x:c r="W9" s="10" t="n">
        <x:v>218</x:v>
      </x:c>
      <x:c r="X9" s="10" t="n">
        <x:v>218.2</x:v>
      </x:c>
      <x:c r="Y9" s="10" t="n">
        <x:v>0.1</x:v>
      </x:c>
      <x:c r="Z9" s="10" t="n">
        <x:v>0.86</x:v>
      </x:c>
      <x:c r="AA9" s="10" t="n">
        <x:v>1.1</x:v>
      </x:c>
      <x:c r="AB9" s="10" t="n">
        <x:v>0.48</x:v>
      </x:c>
      <x:c r="AC9" s="10" t="n">
        <x:v>1.12</x:v>
      </x:c>
      <x:c r="AD9" s="10" t="n">
        <x:v>2</x:v>
      </x:c>
      <x:c r="AE9" s="10" t="n">
        <x:v>2.18</x:v>
      </x:c>
      <x:c r="AF9" s="10" t="n">
        <x:v>0.46</x:v>
      </x:c>
      <x:c r="AG9" s="10" t="n">
        <x:v>12.1</x:v>
      </x:c>
      <x:c r="AH9" s="10" t="n">
        <x:v>1811.4</x:v>
      </x:c>
      <x:c r="AI9" s="10" t="n">
        <x:v>124.2</x:v>
      </x:c>
      <x:c r="AJ9" s="10" t="n">
        <x:v>47.7</x:v>
      </x:c>
      <x:c r="AK9" s="10" t="n">
        <x:v>1271.6</x:v>
      </x:c>
      <x:c r="AL9" s="10" t="n">
        <x:v>3.35</x:v>
      </x:c>
      <x:c r="AM9" s="10" t="n">
        <x:v>2.33</x:v>
      </x:c>
      <x:c r="AN9" s="10" t="str">
        <x:v>PASS</x:v>
      </x:c>
      <x:c r="AO9" s="10" t="str">
        <x:v>Option 4 is no-cook in the morning. Vitamin D remains the existing food-only gap; Vitamin E is improved by sunflower rotation but remains below the 15 mg RDA in the generic model.</x:v>
      </x:c>
    </x:row>
    <x:row r="10">
      <x:c r="A10" s="10" t="str">
        <x:v>Day 3</x:v>
      </x:c>
      <x:c r="B10" s="10" t="n">
        <x:v>1</x:v>
      </x:c>
      <x:c r="C10" s="10" t="str">
        <x:v>Warm Oats + Eggs + Separate Seed Side</x:v>
      </x:c>
      <x:c r="D10" s="10" t="str">
        <x:v>Recommended cooked</x:v>
      </x:c>
      <x:c r="E10" s="10" t="str">
        <x:v>Oats 37 g
Low-fat milk 300 ml
Whole eggs 2
Egg whites 50 g
SEPARATE SEED SIDE:
Chia seeds 5 g
Pumpkin seeds 5 g
Sunflower seeds 5 g
No added salt; no onion/garlic in this milk-containing meal
Do not mix seeds into the milk/oats</x:v>
      </x:c>
      <x:c r="F10" s="10" t="str">
        <x:v>Cook grain/eggs</x:v>
      </x:c>
      <x:c r="G10" s="10" t="str">
        <x:v>Optional seed pre-portion</x:v>
      </x:c>
      <x:c r="H10" s="10" t="str">
        <x:v>Cook the listed oats/ragi with milk. Cook or use batch-prepared eggs/egg whites separately. Eat the measured seed mix from a separate small bowl/container; do not stir it into the milk/grain meal.</x:v>
      </x:c>
      <x:c r="I10" s="10" t="n">
        <x:v>515.9</x:v>
      </x:c>
      <x:c r="J10" s="10" t="n">
        <x:v>36.2</x:v>
      </x:c>
      <x:c r="K10" s="10" t="n">
        <x:v>44.8</x:v>
      </x:c>
      <x:c r="L10" s="10" t="n">
        <x:v>6.2</x:v>
      </x:c>
      <x:c r="M10" s="10" t="n">
        <x:v>21.5</x:v>
      </x:c>
      <x:c r="N10" s="10" t="n">
        <x:v>491.3</x:v>
      </x:c>
      <x:c r="O10" s="10" t="n">
        <x:v>4.5</x:v>
      </x:c>
      <x:c r="P10" s="10" t="n">
        <x:v>161</x:v>
      </x:c>
      <x:c r="Q10" s="10" t="n">
        <x:v>896.6</x:v>
      </x:c>
      <x:c r="R10" s="10" t="n">
        <x:v>2.3</x:v>
      </x:c>
      <x:c r="S10" s="10" t="n">
        <x:v>5.6</x:v>
      </x:c>
      <x:c r="T10" s="10" t="n">
        <x:v>101.4</x:v>
      </x:c>
      <x:c r="U10" s="10" t="n">
        <x:v>1.21</x:v>
      </x:c>
      <x:c r="V10" s="10" t="n">
        <x:v>6.29</x:v>
      </x:c>
      <x:c r="W10" s="10" t="n">
        <x:v>298</x:v>
      </x:c>
      <x:c r="X10" s="10" t="n">
        <x:v>298.2</x:v>
      </x:c>
      <x:c r="Y10" s="10" t="n">
        <x:v>0.2</x:v>
      </x:c>
      <x:c r="Z10" s="10" t="n">
        <x:v>3.25</x:v>
      </x:c>
      <x:c r="AA10" s="10" t="n">
        <x:v>2.3</x:v>
      </x:c>
      <x:c r="AB10" s="10" t="n">
        <x:v>0.58</x:v>
      </x:c>
      <x:c r="AC10" s="10" t="n">
        <x:v>1.32</x:v>
      </x:c>
      <x:c r="AD10" s="10" t="n">
        <x:v>1.87</x:v>
      </x:c>
      <x:c r="AE10" s="10" t="n">
        <x:v>3.2</x:v>
      </x:c>
      <x:c r="AF10" s="10" t="n">
        <x:v>0.42</x:v>
      </x:c>
      <x:c r="AG10" s="10" t="n">
        <x:v>28.9</x:v>
      </x:c>
      <x:c r="AH10" s="10" t="n">
        <x:v>1779.6</x:v>
      </x:c>
      <x:c r="AI10" s="10" t="n">
        <x:v>124.3</x:v>
      </x:c>
      <x:c r="AJ10" s="10" t="n">
        <x:v>43.7</x:v>
      </x:c>
      <x:c r="AK10" s="10" t="n">
        <x:v>1177.6</x:v>
      </x:c>
      <x:c r="AL10" s="10" t="n">
        <x:v>3.2</x:v>
      </x:c>
      <x:c r="AM10" s="10" t="n">
        <x:v>2.01</x:v>
      </x:c>
      <x:c r="AN10" s="10" t="str">
        <x:v>PASS</x:v>
      </x:c>
      <x:c r="AO10" s="10" t="str">
        <x:v>Option 4 is no-cook in the morning. Vitamin D remains the existing food-only gap; Vitamin E is improved by sunflower rotation but remains below the 15 mg RDA in the generic model.</x:v>
      </x:c>
    </x:row>
    <x:row r="11">
      <x:c r="A11" s="10" t="str">
        <x:v>Day 3</x:v>
      </x:c>
      <x:c r="B11" s="10" t="n">
        <x:v>2</x:v>
      </x:c>
      <x:c r="C11" s="10" t="str">
        <x:v>Unsalted Ragi-Moong Chilla + Milk + Egg</x:v>
      </x:c>
      <x:c r="D11" s="10" t="str">
        <x:v>Indian cooked variety</x:v>
      </x:c>
      <x:c r="E11" s="10" t="str">
        <x:v>Ragi flour 25 g
Moong dal (dry) 25 g
Low-fat milk 275 ml
Whole eggs 1
Egg whites 50 g
Cooking oil 2 g
SEPARATE SEED SIDE:
Chia seeds 5 g
Pumpkin seeds 5 g
Sunflower seeds 5 g
No added salt; no onion/garlic because milk is part of this breakfast</x:v>
      </x:c>
      <x:c r="F11" s="10" t="str">
        <x:v>6–10 min cooking</x:v>
      </x:c>
      <x:c r="G11" s="10" t="str">
        <x:v>Soak moong / use batch batter</x:v>
      </x:c>
      <x:c r="H11" s="10" t="str">
        <x:v>Use soaked/batch-ground moong with ragi and permitted salt-free spices to make thin chillas with exactly 2 g oil. Serve milk, egg/egg whites and the seed side separately. No added salt/onion/garlic.</x:v>
      </x:c>
      <x:c r="I11" s="10" t="n">
        <x:v>483.7</x:v>
      </x:c>
      <x:c r="J11" s="10" t="n">
        <x:v>32.2</x:v>
      </x:c>
      <x:c r="K11" s="10" t="n">
        <x:v>51.7</x:v>
      </x:c>
      <x:c r="L11" s="10" t="n">
        <x:v>9.4</x:v>
      </x:c>
      <x:c r="M11" s="10" t="n">
        <x:v>16.7</x:v>
      </x:c>
      <x:c r="N11" s="10" t="n">
        <x:v>532</x:v>
      </x:c>
      <x:c r="O11" s="10" t="n">
        <x:v>4.8</x:v>
      </x:c>
      <x:c r="P11" s="10" t="n">
        <x:v>185.8</x:v>
      </x:c>
      <x:c r="Q11" s="10" t="n">
        <x:v>1075</x:v>
      </x:c>
      <x:c r="R11" s="10" t="n">
        <x:v>1.83</x:v>
      </x:c>
      <x:c r="S11" s="10" t="n">
        <x:v>4.4</x:v>
      </x:c>
      <x:c r="T11" s="10" t="n">
        <x:v>221.4</x:v>
      </x:c>
      <x:c r="U11" s="10" t="n">
        <x:v>1.1</x:v>
      </x:c>
      <x:c r="V11" s="10" t="n">
        <x:v>4.56</x:v>
      </x:c>
      <x:c r="W11" s="10" t="n">
        <x:v>206.5</x:v>
      </x:c>
      <x:c r="X11" s="10" t="n">
        <x:v>208.2</x:v>
      </x:c>
      <x:c r="Y11" s="10" t="n">
        <x:v>1.4</x:v>
      </x:c>
      <x:c r="Z11" s="10" t="n">
        <x:v>2.74</x:v>
      </x:c>
      <x:c r="AA11" s="10" t="n">
        <x:v>3.6</x:v>
      </x:c>
      <x:c r="AB11" s="10" t="n">
        <x:v>0.52</x:v>
      </x:c>
      <x:c r="AC11" s="10" t="n">
        <x:v>1.09</x:v>
      </x:c>
      <x:c r="AD11" s="10" t="n">
        <x:v>2.3</x:v>
      </x:c>
      <x:c r="AE11" s="10" t="n">
        <x:v>2.51</x:v>
      </x:c>
      <x:c r="AF11" s="10" t="n">
        <x:v>0.47</x:v>
      </x:c>
      <x:c r="AG11" s="10" t="n">
        <x:v>13.7</x:v>
      </x:c>
      <x:c r="AH11" s="10" t="n">
        <x:v>1747.4</x:v>
      </x:c>
      <x:c r="AI11" s="10" t="n">
        <x:v>120.3</x:v>
      </x:c>
      <x:c r="AJ11" s="10" t="n">
        <x:v>46.9</x:v>
      </x:c>
      <x:c r="AK11" s="10" t="n">
        <x:v>1218.3</x:v>
      </x:c>
      <x:c r="AL11" s="10" t="n">
        <x:v>2.73</x:v>
      </x:c>
      <x:c r="AM11" s="10" t="n">
        <x:v>1.9</x:v>
      </x:c>
      <x:c r="AN11" s="10" t="str">
        <x:v>PASS</x:v>
      </x:c>
      <x:c r="AO11" s="10" t="str">
        <x:v>Option 4 is no-cook in the morning. Vitamin D remains the existing food-only gap; Vitamin E is improved by sunflower rotation but remains below the 15 mg RDA in the generic model.</x:v>
      </x:c>
    </x:row>
    <x:row r="12">
      <x:c r="A12" s="10" t="str">
        <x:v>Day 3</x:v>
      </x:c>
      <x:c r="B12" s="10" t="n">
        <x:v>3</x:v>
      </x:c>
      <x:c r="C12" s="10" t="str">
        <x:v>Unsalted Poha-Moong Egg Bowl + Milk</x:v>
      </x:c>
      <x:c r="D12" s="10" t="str">
        <x:v>Indian cooked variety</x:v>
      </x:c>
      <x:c r="E12" s="10" t="str">
        <x:v>Thick poha / flattened rice (dry) 25 g
Moong dal (dry) 20 g
Frozen sweet peas [CF] 50 g
Low-fat milk 275 ml
Whole eggs 1
Egg whites 50 g
Cooking oil 2 g
SEPARATE SEED SIDE:
Chia seeds 5 g
Pumpkin seeds 5 g
Sunflower seeds 5 g
No added salt; no onion/garlic because milk is part of this breakfast</x:v>
      </x:c>
      <x:c r="F12" s="10" t="str">
        <x:v>6–10 min cooking</x:v>
      </x:c>
      <x:c r="G12" s="10" t="str">
        <x:v>Use batch-cooked moong if desired</x:v>
      </x:c>
      <x:c r="H12" s="10" t="str">
        <x:v>Soften poha, fold in cooked moong and peas, and heat with permitted salt-free spices using exactly 2 g oil. Serve milk and eggs separately. Eat the seed mix separately. No added salt/onion/garlic.</x:v>
      </x:c>
      <x:c r="I12" s="10" t="n">
        <x:v>510.3</x:v>
      </x:c>
      <x:c r="J12" s="10" t="n">
        <x:v>33.5</x:v>
      </x:c>
      <x:c r="K12" s="10" t="n">
        <x:v>57.1</x:v>
      </x:c>
      <x:c r="L12" s="10" t="n">
        <x:v>9</x:v>
      </x:c>
      <x:c r="M12" s="10" t="n">
        <x:v>16.8</x:v>
      </x:c>
      <x:c r="N12" s="10" t="n">
        <x:v>456.9</x:v>
      </x:c>
      <x:c r="O12" s="10" t="n">
        <x:v>4.5</x:v>
      </x:c>
      <x:c r="P12" s="10" t="n">
        <x:v>167.4</x:v>
      </x:c>
      <x:c r="Q12" s="10" t="n">
        <x:v>1060.2</x:v>
      </x:c>
      <x:c r="R12" s="10" t="n">
        <x:v>1.83</x:v>
      </x:c>
      <x:c r="S12" s="10" t="n">
        <x:v>4.4</x:v>
      </x:c>
      <x:c r="T12" s="10" t="n">
        <x:v>216.4</x:v>
      </x:c>
      <x:c r="U12" s="10" t="n">
        <x:v>1.1</x:v>
      </x:c>
      <x:c r="V12" s="10" t="n">
        <x:v>4.56</x:v>
      </x:c>
      <x:c r="W12" s="10" t="n">
        <x:v>206.5</x:v>
      </x:c>
      <x:c r="X12" s="10" t="n">
        <x:v>226.8</x:v>
      </x:c>
      <x:c r="Y12" s="10" t="n">
        <x:v>21.2</x:v>
      </x:c>
      <x:c r="Z12" s="10" t="n">
        <x:v>2.75</x:v>
      </x:c>
      <x:c r="AA12" s="10" t="n">
        <x:v>15.6</x:v>
      </x:c>
      <x:c r="AB12" s="10" t="n">
        <x:v>0.54</x:v>
      </x:c>
      <x:c r="AC12" s="10" t="n">
        <x:v>1.11</x:v>
      </x:c>
      <x:c r="AD12" s="10" t="n">
        <x:v>3.35</x:v>
      </x:c>
      <x:c r="AE12" s="10" t="n">
        <x:v>2.54</x:v>
      </x:c>
      <x:c r="AF12" s="10" t="n">
        <x:v>0.48</x:v>
      </x:c>
      <x:c r="AG12" s="10" t="n">
        <x:v>13.8</x:v>
      </x:c>
      <x:c r="AH12" s="10" t="n">
        <x:v>1774</x:v>
      </x:c>
      <x:c r="AI12" s="10" t="n">
        <x:v>121.6</x:v>
      </x:c>
      <x:c r="AJ12" s="10" t="n">
        <x:v>46.5</x:v>
      </x:c>
      <x:c r="AK12" s="10" t="n">
        <x:v>1143.2</x:v>
      </x:c>
      <x:c r="AL12" s="10" t="n">
        <x:v>2.73</x:v>
      </x:c>
      <x:c r="AM12" s="10" t="n">
        <x:v>1.9</x:v>
      </x:c>
      <x:c r="AN12" s="10" t="str">
        <x:v>PASS</x:v>
      </x:c>
      <x:c r="AO12" s="10" t="str">
        <x:v>Option 4 is no-cook in the morning. Vitamin D remains the existing food-only gap; Vitamin E is improved by sunflower rotation but remains below the 15 mg RDA in the generic model.</x:v>
      </x:c>
    </x:row>
    <x:row r="13">
      <x:c r="A13" s="10" t="str">
        <x:v>Day 3</x:v>
      </x:c>
      <x:c r="B13" s="10" t="n">
        <x:v>4</x:v>
      </x:c>
      <x:c r="C13" s="10" t="str">
        <x:v>Overnight No-Cook Breakfast Jar + Pre-Cooked Eggs</x:v>
      </x:c>
      <x:c r="D13" s="10" t="str">
        <x:v>NO-COOK MORNING</x:v>
      </x:c>
      <x:c r="E13" s="10" t="str">
        <x:v>Rolled oats 35 g
Ready-to-eat / steam-processed ragi flakes 15 g
Low-fat milk 300 ml
Whole eggs 2
Batch-cooked egg whites 50 g
SEPARATE SEED SIDE:
Chia seeds 5 g
Pumpkin seeds 5 g
Sunflower seeds 5 g
No added salt; no onion/garlic
Use RTE/steam-processed ragi flakes only — not raw ragi flour</x:v>
      </x:c>
      <x:c r="F13" s="10" t="str">
        <x:v>0 min cooking</x:v>
      </x:c>
      <x:c r="G13" s="10" t="str">
        <x:v>2–3 min assembly; refrigerate ≥6 h</x:v>
      </x:c>
      <x:c r="H13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13" s="10" t="n">
        <x:v>564</x:v>
      </x:c>
      <x:c r="J13" s="10" t="n">
        <x:v>38.5</x:v>
      </x:c>
      <x:c r="K13" s="10" t="n">
        <x:v>53.7</x:v>
      </x:c>
      <x:c r="L13" s="10" t="n">
        <x:v>7.9</x:v>
      </x:c>
      <x:c r="M13" s="10" t="n">
        <x:v>21.8</x:v>
      </x:c>
      <x:c r="N13" s="10" t="n">
        <x:v>542.8</x:v>
      </x:c>
      <x:c r="O13" s="10" t="n">
        <x:v>5.3</x:v>
      </x:c>
      <x:c r="P13" s="10" t="n">
        <x:v>195.6</x:v>
      </x:c>
      <x:c r="Q13" s="10" t="n">
        <x:v>979.4</x:v>
      </x:c>
      <x:c r="R13" s="10" t="n">
        <x:v>2.5</x:v>
      </x:c>
      <x:c r="S13" s="10" t="n">
        <x:v>5.8</x:v>
      </x:c>
      <x:c r="T13" s="10" t="n">
        <x:v>106.6</x:v>
      </x:c>
      <x:c r="U13" s="10" t="n">
        <x:v>1.15</x:v>
      </x:c>
      <x:c r="V13" s="10" t="n">
        <x:v>6.31</x:v>
      </x:c>
      <x:c r="W13" s="10" t="n">
        <x:v>298</x:v>
      </x:c>
      <x:c r="X13" s="10" t="n">
        <x:v>298.1</x:v>
      </x:c>
      <x:c r="Y13" s="10" t="n">
        <x:v>0.2</x:v>
      </x:c>
      <x:c r="Z13" s="10" t="n">
        <x:v>3.28</x:v>
      </x:c>
      <x:c r="AA13" s="10" t="n">
        <x:v>2.3</x:v>
      </x:c>
      <x:c r="AB13" s="10" t="n">
        <x:v>0.63</x:v>
      </x:c>
      <x:c r="AC13" s="10" t="n">
        <x:v>1.34</x:v>
      </x:c>
      <x:c r="AD13" s="10" t="n">
        <x:v>2.02</x:v>
      </x:c>
      <x:c r="AE13" s="10" t="n">
        <x:v>3.24</x:v>
      </x:c>
      <x:c r="AF13" s="10" t="n">
        <x:v>0.48</x:v>
      </x:c>
      <x:c r="AG13" s="10" t="n">
        <x:v>28.8</x:v>
      </x:c>
      <x:c r="AH13" s="10" t="n">
        <x:v>1827.7</x:v>
      </x:c>
      <x:c r="AI13" s="10" t="n">
        <x:v>126.6</x:v>
      </x:c>
      <x:c r="AJ13" s="10" t="n">
        <x:v>45.4</x:v>
      </x:c>
      <x:c r="AK13" s="10" t="n">
        <x:v>1229.1</x:v>
      </x:c>
      <x:c r="AL13" s="10" t="n">
        <x:v>3.4</x:v>
      </x:c>
      <x:c r="AM13" s="10" t="n">
        <x:v>1.95</x:v>
      </x:c>
      <x:c r="AN13" s="10" t="str">
        <x:v>PASS</x:v>
      </x:c>
      <x:c r="AO13" s="10" t="str">
        <x:v>Option 4 is no-cook in the morning. Vitamin D remains the existing food-only gap; Vitamin E is improved by sunflower rotation but remains below the 15 mg RDA in the generic model.</x:v>
      </x:c>
    </x:row>
    <x:row r="14">
      <x:c r="A14" s="10" t="str">
        <x:v>Day 4</x:v>
      </x:c>
      <x:c r="B14" s="10" t="n">
        <x:v>1</x:v>
      </x:c>
      <x:c r="C14" s="10" t="str">
        <x:v>Warm Oats + Eggs + Separate Seed Side</x:v>
      </x:c>
      <x:c r="D14" s="10" t="str">
        <x:v>Recommended cooked</x:v>
      </x:c>
      <x:c r="E14" s="10" t="str">
        <x:v>Oats 37 g
Low-fat milk 300 ml
Whole eggs 1
Egg whites 50 g
SEPARATE SEED SIDE:
Ground flaxseed 5 g
Hemp hearts 5 g
Sunflower seeds 5 g
No added salt; no onion/garlic in this milk-containing meal
Do not mix seeds into the milk/oats</x:v>
      </x:c>
      <x:c r="F14" s="10" t="str">
        <x:v>Cook grain/eggs</x:v>
      </x:c>
      <x:c r="G14" s="10" t="str">
        <x:v>Optional seed pre-portion</x:v>
      </x:c>
      <x:c r="H14" s="10" t="str">
        <x:v>Cook the listed oats/ragi with milk. Cook or use batch-prepared eggs/egg whites separately. Eat the measured seed mix from a separate small bowl/container; do not stir it into the milk/grain meal.</x:v>
      </x:c>
      <x:c r="I14" s="10" t="n">
        <x:v>446.5</x:v>
      </x:c>
      <x:c r="J14" s="10" t="n">
        <x:v>30</x:v>
      </x:c>
      <x:c r="K14" s="10" t="n">
        <x:v>43.8</x:v>
      </x:c>
      <x:c r="L14" s="10" t="n">
        <x:v>5.7</x:v>
      </x:c>
      <x:c r="M14" s="10" t="n">
        <x:v>17.3</x:v>
      </x:c>
      <x:c r="N14" s="10" t="n">
        <x:v>445.7</x:v>
      </x:c>
      <x:c r="O14" s="10" t="n">
        <x:v>3.5</x:v>
      </x:c>
      <x:c r="P14" s="10" t="n">
        <x:v>163.3</x:v>
      </x:c>
      <x:c r="Q14" s="10" t="n">
        <x:v>862</x:v>
      </x:c>
      <x:c r="R14" s="10" t="n">
        <x:v>1.8</x:v>
      </x:c>
      <x:c r="S14" s="10" t="n">
        <x:v>4.6</x:v>
      </x:c>
      <x:c r="T14" s="10" t="n">
        <x:v>82.4</x:v>
      </x:c>
      <x:c r="U14" s="10" t="n">
        <x:v>1.79</x:v>
      </x:c>
      <x:c r="V14" s="10" t="n">
        <x:v>4.54</x:v>
      </x:c>
      <x:c r="W14" s="10" t="n">
        <x:v>218</x:v>
      </x:c>
      <x:c r="X14" s="10" t="n">
        <x:v>218.1</x:v>
      </x:c>
      <x:c r="Y14" s="10" t="n">
        <x:v>0.1</x:v>
      </x:c>
      <x:c r="Z14" s="10" t="n">
        <x:v>2.65</x:v>
      </x:c>
      <x:c r="AA14" s="10" t="n">
        <x:v>2</x:v>
      </x:c>
      <x:c r="AB14" s="10" t="n">
        <x:v>0.65</x:v>
      </x:c>
      <x:c r="AC14" s="10" t="n">
        <x:v>1.09</x:v>
      </x:c>
      <x:c r="AD14" s="10" t="n">
        <x:v>1.76</x:v>
      </x:c>
      <x:c r="AE14" s="10" t="n">
        <x:v>2.53</x:v>
      </x:c>
      <x:c r="AF14" s="10" t="n">
        <x:v>0.38</x:v>
      </x:c>
      <x:c r="AG14" s="10" t="n">
        <x:v>18.9</x:v>
      </x:c>
      <x:c r="AH14" s="10" t="n">
        <x:v>1808.7</x:v>
      </x:c>
      <x:c r="AI14" s="10" t="n">
        <x:v>129.2</x:v>
      </x:c>
      <x:c r="AJ14" s="10" t="n">
        <x:v>40</x:v>
      </x:c>
      <x:c r="AK14" s="10" t="n">
        <x:v>1001.8</x:v>
      </x:c>
      <x:c r="AL14" s="10" t="n">
        <x:v>4.8</x:v>
      </x:c>
      <x:c r="AM14" s="10" t="n">
        <x:v>2.89</x:v>
      </x:c>
      <x:c r="AN14" s="10" t="str">
        <x:v>PASS</x:v>
      </x:c>
      <x:c r="AO14" s="10" t="str">
        <x:v>Option 4 is no-cook in the morning. Vitamin D remains the existing food-only gap; Vitamin E is improved by sunflower rotation but remains below the 15 mg RDA in the generic model.</x:v>
      </x:c>
    </x:row>
    <x:row r="15">
      <x:c r="A15" s="10" t="str">
        <x:v>Day 4</x:v>
      </x:c>
      <x:c r="B15" s="10" t="n">
        <x:v>2</x:v>
      </x:c>
      <x:c r="C15" s="10" t="str">
        <x:v>Unsalted Ragi-Moong Chilla + Milk + Egg</x:v>
      </x:c>
      <x:c r="D15" s="10" t="str">
        <x:v>Indian cooked variety</x:v>
      </x:c>
      <x:c r="E15" s="10" t="str">
        <x:v>Ragi flour 25 g
Moong dal (dry) 25 g
Low-fat milk 275 ml
Whole eggs 1
Egg whites 35 g
Cooking oil 2 g
SEPARATE SEED SIDE:
Ground flaxseed 5 g
Hemp hearts 5 g
Sunflower seeds 5 g
No added salt; no onion/garlic because milk is part of this breakfast</x:v>
      </x:c>
      <x:c r="F15" s="10" t="str">
        <x:v>6–10 min cooking</x:v>
      </x:c>
      <x:c r="G15" s="10" t="str">
        <x:v>Soak moong / use batch batter</x:v>
      </x:c>
      <x:c r="H15" s="10" t="str">
        <x:v>Use soaked/batch-ground moong with ragi and permitted salt-free spices to make thin chillas with exactly 2 g oil. Serve milk, egg/egg whites and the seed side separately. No added salt/onion/garlic.</x:v>
      </x:c>
      <x:c r="I15" s="10" t="n">
        <x:v>478</x:v>
      </x:c>
      <x:c r="J15" s="10" t="n">
        <x:v>30.7</x:v>
      </x:c>
      <x:c r="K15" s="10" t="n">
        <x:v>50.9</x:v>
      </x:c>
      <x:c r="L15" s="10" t="n">
        <x:v>8.9</x:v>
      </x:c>
      <x:c r="M15" s="10" t="n">
        <x:v>17.3</x:v>
      </x:c>
      <x:c r="N15" s="10" t="n">
        <x:v>513.4</x:v>
      </x:c>
      <x:c r="O15" s="10" t="n">
        <x:v>4.6</x:v>
      </x:c>
      <x:c r="P15" s="10" t="n">
        <x:v>192.4</x:v>
      </x:c>
      <x:c r="Q15" s="10" t="n">
        <x:v>1084.9</x:v>
      </x:c>
      <x:c r="R15" s="10" t="n">
        <x:v>1.82</x:v>
      </x:c>
      <x:c r="S15" s="10" t="n">
        <x:v>4.4</x:v>
      </x:c>
      <x:c r="T15" s="10" t="n">
        <x:v>225.3</x:v>
      </x:c>
      <x:c r="U15" s="10" t="n">
        <x:v>1.77</x:v>
      </x:c>
      <x:c r="V15" s="10" t="n">
        <x:v>4.37</x:v>
      </x:c>
      <x:c r="W15" s="10" t="n">
        <x:v>206.5</x:v>
      </x:c>
      <x:c r="X15" s="10" t="n">
        <x:v>208.1</x:v>
      </x:c>
      <x:c r="Y15" s="10" t="n">
        <x:v>1.3</x:v>
      </x:c>
      <x:c r="Z15" s="10" t="n">
        <x:v>2.66</x:v>
      </x:c>
      <x:c r="AA15" s="10" t="n">
        <x:v>3.4</x:v>
      </x:c>
      <x:c r="AB15" s="10" t="n">
        <x:v>0.63</x:v>
      </x:c>
      <x:c r="AC15" s="10" t="n">
        <x:v>1.03</x:v>
      </x:c>
      <x:c r="AD15" s="10" t="n">
        <x:v>2.2</x:v>
      </x:c>
      <x:c r="AE15" s="10" t="n">
        <x:v>2.52</x:v>
      </x:c>
      <x:c r="AF15" s="10" t="n">
        <x:v>0.52</x:v>
      </x:c>
      <x:c r="AG15" s="10" t="n">
        <x:v>13.6</x:v>
      </x:c>
      <x:c r="AH15" s="10" t="n">
        <x:v>1840.2</x:v>
      </x:c>
      <x:c r="AI15" s="10" t="n">
        <x:v>129.9</x:v>
      </x:c>
      <x:c r="AJ15" s="10" t="n">
        <x:v>43.2</x:v>
      </x:c>
      <x:c r="AK15" s="10" t="n">
        <x:v>1069.4</x:v>
      </x:c>
      <x:c r="AL15" s="10" t="n">
        <x:v>4.82</x:v>
      </x:c>
      <x:c r="AM15" s="10" t="n">
        <x:v>2.87</x:v>
      </x:c>
      <x:c r="AN15" s="10" t="str">
        <x:v>PASS</x:v>
      </x:c>
      <x:c r="AO15" s="10" t="str">
        <x:v>Option 4 is no-cook in the morning. Vitamin D remains the existing food-only gap; Vitamin E is improved by sunflower rotation but remains below the 15 mg RDA in the generic model.</x:v>
      </x:c>
    </x:row>
    <x:row r="16">
      <x:c r="A16" s="10" t="str">
        <x:v>Day 4</x:v>
      </x:c>
      <x:c r="B16" s="10" t="n">
        <x:v>3</x:v>
      </x:c>
      <x:c r="C16" s="10" t="str">
        <x:v>Unsalted Poha-Moong Egg Bowl + Milk</x:v>
      </x:c>
      <x:c r="D16" s="10" t="str">
        <x:v>Indian cooked variety</x:v>
      </x:c>
      <x:c r="E16" s="10" t="str">
        <x:v>Thick poha / flattened rice (dry) 25 g
Moong dal (dry) 20 g
Frozen sweet peas [CF] 50 g
Low-fat milk 300 ml
Whole eggs 1
Egg whites 15 g
Cooking oil 2 g
SEPARATE SEED SIDE:
Ground flaxseed 5 g
Hemp hearts 5 g
Sunflower seeds 5 g
No added salt; no onion/garlic because milk is part of this breakfast</x:v>
      </x:c>
      <x:c r="F16" s="10" t="str">
        <x:v>6–10 min cooking</x:v>
      </x:c>
      <x:c r="G16" s="10" t="str">
        <x:v>Use batch-cooked moong if desired</x:v>
      </x:c>
      <x:c r="H16" s="10" t="str">
        <x:v>Soften poha, fold in cooked moong and peas, and heat with permitted salt-free spices using exactly 2 g oil. Serve milk and eggs separately. Eat the seed mix separately. No added salt/onion/garlic.</x:v>
      </x:c>
      <x:c r="I16" s="10" t="n">
        <x:v>504.7</x:v>
      </x:c>
      <x:c r="J16" s="10" t="n">
        <x:v>30.7</x:v>
      </x:c>
      <x:c r="K16" s="10" t="n">
        <x:v>57.3</x:v>
      </x:c>
      <x:c r="L16" s="10" t="n">
        <x:v>8.6</x:v>
      </x:c>
      <x:c r="M16" s="10" t="n">
        <x:v>17.5</x:v>
      </x:c>
      <x:c r="N16" s="10" t="n">
        <x:v>468.1</x:v>
      </x:c>
      <x:c r="O16" s="10" t="n">
        <x:v>4.3</x:v>
      </x:c>
      <x:c r="P16" s="10" t="n">
        <x:v>174.6</x:v>
      </x:c>
      <x:c r="Q16" s="10" t="n">
        <x:v>1075.1</x:v>
      </x:c>
      <x:c r="R16" s="10" t="n">
        <x:v>1.91</x:v>
      </x:c>
      <x:c r="S16" s="10" t="n">
        <x:v>4.7</x:v>
      </x:c>
      <x:c r="T16" s="10" t="n">
        <x:v>220.8</x:v>
      </x:c>
      <x:c r="U16" s="10" t="n">
        <x:v>1.79</x:v>
      </x:c>
      <x:c r="V16" s="10" t="n">
        <x:v>4.53</x:v>
      </x:c>
      <x:c r="W16" s="10" t="n">
        <x:v>218</x:v>
      </x:c>
      <x:c r="X16" s="10" t="n">
        <x:v>238.2</x:v>
      </x:c>
      <x:c r="Y16" s="10" t="n">
        <x:v>21.1</x:v>
      </x:c>
      <x:c r="Z16" s="10" t="n">
        <x:v>2.69</x:v>
      </x:c>
      <x:c r="AA16" s="10" t="n">
        <x:v>15.5</x:v>
      </x:c>
      <x:c r="AB16" s="10" t="n">
        <x:v>0.65</x:v>
      </x:c>
      <x:c r="AC16" s="10" t="n">
        <x:v>1.01</x:v>
      </x:c>
      <x:c r="AD16" s="10" t="n">
        <x:v>3.26</x:v>
      </x:c>
      <x:c r="AE16" s="10" t="n">
        <x:v>2.6</x:v>
      </x:c>
      <x:c r="AF16" s="10" t="n">
        <x:v>0.54</x:v>
      </x:c>
      <x:c r="AG16" s="10" t="n">
        <x:v>13.8</x:v>
      </x:c>
      <x:c r="AH16" s="10" t="n">
        <x:v>1866.9</x:v>
      </x:c>
      <x:c r="AI16" s="10" t="n">
        <x:v>129.9</x:v>
      </x:c>
      <x:c r="AJ16" s="10" t="n">
        <x:v>42.9</x:v>
      </x:c>
      <x:c r="AK16" s="10" t="n">
        <x:v>1024.2</x:v>
      </x:c>
      <x:c r="AL16" s="10" t="n">
        <x:v>4.91</x:v>
      </x:c>
      <x:c r="AM16" s="10" t="n">
        <x:v>2.89</x:v>
      </x:c>
      <x:c r="AN16" s="10" t="str">
        <x:v>PASS</x:v>
      </x:c>
      <x:c r="AO16" s="10" t="str">
        <x:v>Option 4 is no-cook in the morning. Vitamin D remains the existing food-only gap; Vitamin E is improved by sunflower rotation but remains below the 15 mg RDA in the generic model.</x:v>
      </x:c>
    </x:row>
    <x:row r="17">
      <x:c r="A17" s="10" t="str">
        <x:v>Day 4</x:v>
      </x:c>
      <x:c r="B17" s="10" t="n">
        <x:v>4</x:v>
      </x:c>
      <x:c r="C17" s="10" t="str">
        <x:v>Overnight No-Cook Breakfast Jar + Pre-Cooked Eggs</x:v>
      </x:c>
      <x:c r="D17" s="10" t="str">
        <x:v>NO-COOK MORNING</x:v>
      </x:c>
      <x:c r="E17" s="10" t="str">
        <x:v>Ready-to-eat / steam-processed ragi flakes 10 g
Thick poha / flattened rice 40 g
Low-fat milk 300 ml
Whole eggs 1
Batch-cooked egg whites 50 g
SEPARATE SEED SIDE:
Ground flaxseed 5 g
Hemp hearts 5 g
Sunflower seeds 5 g
No added salt; no onion/garlic
Use RTE/steam-processed ragi flakes only — not raw ragi flour</x:v>
      </x:c>
      <x:c r="F17" s="10" t="str">
        <x:v>0 min cooking</x:v>
      </x:c>
      <x:c r="G17" s="10" t="str">
        <x:v>2–3 min assembly; refrigerate ≥6 h</x:v>
      </x:c>
      <x:c r="H17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17" s="10" t="n">
        <x:v>481.1</x:v>
      </x:c>
      <x:c r="J17" s="10" t="n">
        <x:v>28.8</x:v>
      </x:c>
      <x:c r="K17" s="10" t="n">
        <x:v>56.6</x:v>
      </x:c>
      <x:c r="L17" s="10" t="n">
        <x:v>4.3</x:v>
      </x:c>
      <x:c r="M17" s="10" t="n">
        <x:v>15.4</x:v>
      </x:c>
      <x:c r="N17" s="10" t="n">
        <x:v>469</x:v>
      </x:c>
      <x:c r="O17" s="10" t="n">
        <x:v>2.8</x:v>
      </x:c>
      <x:c r="P17" s="10" t="n">
        <x:v>143</x:v>
      </x:c>
      <x:c r="Q17" s="10" t="n">
        <x:v>818.2</x:v>
      </x:c>
      <x:c r="R17" s="10" t="n">
        <x:v>1.95</x:v>
      </x:c>
      <x:c r="S17" s="10" t="n">
        <x:v>4.7</x:v>
      </x:c>
      <x:c r="T17" s="10" t="n">
        <x:v>69.7</x:v>
      </x:c>
      <x:c r="U17" s="10" t="n">
        <x:v>1.76</x:v>
      </x:c>
      <x:c r="V17" s="10" t="n">
        <x:v>4.2</x:v>
      </x:c>
      <x:c r="W17" s="10" t="n">
        <x:v>218</x:v>
      </x:c>
      <x:c r="X17" s="10" t="n">
        <x:v>218.1</x:v>
      </x:c>
      <x:c r="Y17" s="10" t="n">
        <x:v>0.1</x:v>
      </x:c>
      <x:c r="Z17" s="10" t="n">
        <x:v>2.56</x:v>
      </x:c>
      <x:c r="AA17" s="10" t="n">
        <x:v>1.3</x:v>
      </x:c>
      <x:c r="AB17" s="10" t="n">
        <x:v>0.45</x:v>
      </x:c>
      <x:c r="AC17" s="10" t="n">
        <x:v>1.07</x:v>
      </x:c>
      <x:c r="AD17" s="10" t="n">
        <x:v>2.16</x:v>
      </x:c>
      <x:c r="AE17" s="10" t="n">
        <x:v>2.4</x:v>
      </x:c>
      <x:c r="AF17" s="10" t="n">
        <x:v>0.44</x:v>
      </x:c>
      <x:c r="AG17" s="10" t="n">
        <x:v>12.1</x:v>
      </x:c>
      <x:c r="AH17" s="10" t="n">
        <x:v>1843.3</x:v>
      </x:c>
      <x:c r="AI17" s="10" t="n">
        <x:v>128</x:v>
      </x:c>
      <x:c r="AJ17" s="10" t="n">
        <x:v>38.6</x:v>
      </x:c>
      <x:c r="AK17" s="10" t="n">
        <x:v>1025.1</x:v>
      </x:c>
      <x:c r="AL17" s="10" t="n">
        <x:v>4.95</x:v>
      </x:c>
      <x:c r="AM17" s="10" t="n">
        <x:v>2.86</x:v>
      </x:c>
      <x:c r="AN17" s="10" t="str">
        <x:v>PASS</x:v>
      </x:c>
      <x:c r="AO17" s="10" t="str">
        <x:v>Option 4 is no-cook in the morning. Vitamin D remains the existing food-only gap; Vitamin E is improved by sunflower rotation but remains below the 15 mg RDA in the generic model.</x:v>
      </x:c>
    </x:row>
    <x:row r="18">
      <x:c r="A18" s="10" t="str">
        <x:v>Day 5</x:v>
      </x:c>
      <x:c r="B18" s="10" t="n">
        <x:v>1</x:v>
      </x:c>
      <x:c r="C18" s="10" t="str">
        <x:v>Ragi Milk Porridge + Eggs + Separate Seed Side</x:v>
      </x:c>
      <x:c r="D18" s="10" t="str">
        <x:v>Recommended cooked</x:v>
      </x:c>
      <x:c r="E18" s="10" t="str">
        <x:v>Ragi flour 45 g
Low-fat milk 300 ml
Whole eggs 1
Egg whites 50 g
SEPARATE SEED SIDE:
Sesame seeds 5 g
Sunflower seeds 5 g
Chia seeds 5 g
No added salt; no onion/garlic in this milk-containing meal
Do not mix seeds into the milk/ragi bowl</x:v>
      </x:c>
      <x:c r="F18" s="10" t="str">
        <x:v>Cook grain/eggs</x:v>
      </x:c>
      <x:c r="G18" s="10" t="str">
        <x:v>Optional seed pre-portion</x:v>
      </x:c>
      <x:c r="H18" s="10" t="str">
        <x:v>Cook the listed oats/ragi with milk. Cook or use batch-prepared eggs/egg whites separately. Eat the measured seed mix from a separate small bowl/container; do not stir it into the milk/grain meal.</x:v>
      </x:c>
      <x:c r="I18" s="10" t="n">
        <x:v>456.9</x:v>
      </x:c>
      <x:c r="J18" s="10" t="n">
        <x:v>28</x:v>
      </x:c>
      <x:c r="K18" s="10" t="n">
        <x:v>52.4</x:v>
      </x:c>
      <x:c r="L18" s="10" t="n">
        <x:v>8</x:v>
      </x:c>
      <x:c r="M18" s="10" t="n">
        <x:v>15</x:v>
      </x:c>
      <x:c r="N18" s="10" t="n">
        <x:v>645.6</x:v>
      </x:c>
      <x:c r="O18" s="10" t="n">
        <x:v>4.1</x:v>
      </x:c>
      <x:c r="P18" s="10" t="n">
        <x:v>156.7</x:v>
      </x:c>
      <x:c r="Q18" s="10" t="n">
        <x:v>860.2</x:v>
      </x:c>
      <x:c r="R18" s="10" t="n">
        <x:v>1.8</x:v>
      </x:c>
      <x:c r="S18" s="10" t="n">
        <x:v>4.6</x:v>
      </x:c>
      <x:c r="T18" s="10" t="n">
        <x:v>78.1</x:v>
      </x:c>
      <x:c r="U18" s="10" t="n">
        <x:v>1.14</x:v>
      </x:c>
      <x:c r="V18" s="10" t="n">
        <x:v>4.33</x:v>
      </x:c>
      <x:c r="W18" s="10" t="n">
        <x:v>218</x:v>
      </x:c>
      <x:c r="X18" s="10" t="n">
        <x:v>218.2</x:v>
      </x:c>
      <x:c r="Y18" s="10" t="n">
        <x:v>0.2</x:v>
      </x:c>
      <x:c r="Z18" s="10" t="n">
        <x:v>2.57</x:v>
      </x:c>
      <x:c r="AA18" s="10" t="n">
        <x:v>1.1</x:v>
      </x:c>
      <x:c r="AB18" s="10" t="n">
        <x:v>0.49</x:v>
      </x:c>
      <x:c r="AC18" s="10" t="n">
        <x:v>1.13</x:v>
      </x:c>
      <x:c r="AD18" s="10" t="n">
        <x:v>1.95</x:v>
      </x:c>
      <x:c r="AE18" s="10" t="n">
        <x:v>2.19</x:v>
      </x:c>
      <x:c r="AF18" s="10" t="n">
        <x:v>0.49</x:v>
      </x:c>
      <x:c r="AG18" s="10" t="n">
        <x:v>12.2</x:v>
      </x:c>
      <x:c r="AH18" s="10" t="n">
        <x:v>1778.8</x:v>
      </x:c>
      <x:c r="AI18" s="10" t="n">
        <x:v>124.3</x:v>
      </x:c>
      <x:c r="AJ18" s="10" t="n">
        <x:v>45.2</x:v>
      </x:c>
      <x:c r="AK18" s="10" t="n">
        <x:v>1215</x:v>
      </x:c>
      <x:c r="AL18" s="10" t="n">
        <x:v>3.2</x:v>
      </x:c>
      <x:c r="AM18" s="10" t="n">
        <x:v>1.84</x:v>
      </x:c>
      <x:c r="AN18" s="10" t="str">
        <x:v>PASS</x:v>
      </x:c>
      <x:c r="AO18" s="10" t="str">
        <x:v>Option 4 is no-cook in the morning. Vitamin D remains the existing food-only gap; Vitamin E is improved by sunflower rotation but remains below the 15 mg RDA in the generic model.</x:v>
      </x:c>
    </x:row>
    <x:row r="19">
      <x:c r="A19" s="10" t="str">
        <x:v>Day 5</x:v>
      </x:c>
      <x:c r="B19" s="10" t="n">
        <x:v>2</x:v>
      </x:c>
      <x:c r="C19" s="10" t="str">
        <x:v>Unsalted Ragi-Moong Chilla + Milk + Egg</x:v>
      </x:c>
      <x:c r="D19" s="10" t="str">
        <x:v>Indian cooked variety</x:v>
      </x:c>
      <x:c r="E19" s="10" t="str">
        <x:v>Ragi flour 25 g
Moong dal (dry) 25 g
Low-fat milk 275 ml
Whole eggs 1
Egg whites 50 g
Cooking oil 2 g
SEPARATE SEED SIDE:
Sesame seeds 5 g
Sunflower seeds 5 g
Chia seeds 5 g
No added salt; no onion/garlic because milk is part of this breakfast</x:v>
      </x:c>
      <x:c r="F19" s="10" t="str">
        <x:v>6–10 min cooking</x:v>
      </x:c>
      <x:c r="G19" s="10" t="str">
        <x:v>Soak moong / use batch batter</x:v>
      </x:c>
      <x:c r="H19" s="10" t="str">
        <x:v>Use soaked/batch-ground moong with ragi and permitted salt-free spices to make thin chillas with exactly 2 g oil. Serve milk, egg/egg whites and the seed side separately. No added salt/onion/garlic.</x:v>
      </x:c>
      <x:c r="I19" s="10" t="n">
        <x:v>484.4</x:v>
      </x:c>
      <x:c r="J19" s="10" t="n">
        <x:v>31.6</x:v>
      </x:c>
      <x:c r="K19" s="10" t="n">
        <x:v>52.4</x:v>
      </x:c>
      <x:c r="L19" s="10" t="n">
        <x:v>9.7</x:v>
      </x:c>
      <x:c r="M19" s="10" t="n">
        <x:v>16.8</x:v>
      </x:c>
      <x:c r="N19" s="10" t="n">
        <x:v>578.4</x:v>
      </x:c>
      <x:c r="O19" s="10" t="n">
        <x:v>5.1</x:v>
      </x:c>
      <x:c r="P19" s="10" t="n">
        <x:v>173.8</x:v>
      </x:c>
      <x:c r="Q19" s="10" t="n">
        <x:v>1052.5</x:v>
      </x:c>
      <x:c r="R19" s="10" t="n">
        <x:v>1.83</x:v>
      </x:c>
      <x:c r="S19" s="10" t="n">
        <x:v>4.4</x:v>
      </x:c>
      <x:c r="T19" s="10" t="n">
        <x:v>223.4</x:v>
      </x:c>
      <x:c r="U19" s="10" t="n">
        <x:v>1.11</x:v>
      </x:c>
      <x:c r="V19" s="10" t="n">
        <x:v>4.47</x:v>
      </x:c>
      <x:c r="W19" s="10" t="n">
        <x:v>206.5</x:v>
      </x:c>
      <x:c r="X19" s="10" t="n">
        <x:v>208.2</x:v>
      </x:c>
      <x:c r="Y19" s="10" t="n">
        <x:v>1.4</x:v>
      </x:c>
      <x:c r="Z19" s="10" t="n">
        <x:v>2.65</x:v>
      </x:c>
      <x:c r="AA19" s="10" t="n">
        <x:v>3.2</x:v>
      </x:c>
      <x:c r="AB19" s="10" t="n">
        <x:v>0.55</x:v>
      </x:c>
      <x:c r="AC19" s="10" t="n">
        <x:v>1.1</x:v>
      </x:c>
      <x:c r="AD19" s="10" t="n">
        <x:v>2.27</x:v>
      </x:c>
      <x:c r="AE19" s="10" t="n">
        <x:v>2.47</x:v>
      </x:c>
      <x:c r="AF19" s="10" t="n">
        <x:v>0.51</x:v>
      </x:c>
      <x:c r="AG19" s="10" t="n">
        <x:v>13.5</x:v>
      </x:c>
      <x:c r="AH19" s="10" t="n">
        <x:v>1806.4</x:v>
      </x:c>
      <x:c r="AI19" s="10" t="n">
        <x:v>127.9</x:v>
      </x:c>
      <x:c r="AJ19" s="10" t="n">
        <x:v>46.9</x:v>
      </x:c>
      <x:c r="AK19" s="10" t="n">
        <x:v>1147.8</x:v>
      </x:c>
      <x:c r="AL19" s="10" t="n">
        <x:v>3.23</x:v>
      </x:c>
      <x:c r="AM19" s="10" t="n">
        <x:v>1.81</x:v>
      </x:c>
      <x:c r="AN19" s="10" t="str">
        <x:v>PASS</x:v>
      </x:c>
      <x:c r="AO19" s="10" t="str">
        <x:v>Option 4 is no-cook in the morning. Vitamin D remains the existing food-only gap; Vitamin E is improved by sunflower rotation but remains below the 15 mg RDA in the generic model.</x:v>
      </x:c>
    </x:row>
    <x:row r="20">
      <x:c r="A20" s="10" t="str">
        <x:v>Day 5</x:v>
      </x:c>
      <x:c r="B20" s="10" t="n">
        <x:v>3</x:v>
      </x:c>
      <x:c r="C20" s="10" t="str">
        <x:v>Unsalted Poha-Moong Egg Bowl + Milk</x:v>
      </x:c>
      <x:c r="D20" s="10" t="str">
        <x:v>Indian cooked variety</x:v>
      </x:c>
      <x:c r="E20" s="10" t="str">
        <x:v>Thick poha / flattened rice (dry) 25 g
Moong dal (dry) 20 g
Frozen sweet peas [CF] 50 g
Low-fat milk 275 ml
Whole eggs 1
Egg whites 50 g
Cooking oil 2 g
SEPARATE SEED SIDE:
Sesame seeds 5 g
Sunflower seeds 5 g
Chia seeds 5 g
No added salt; no onion/garlic because milk is part of this breakfast</x:v>
      </x:c>
      <x:c r="F20" s="10" t="str">
        <x:v>6–10 min cooking</x:v>
      </x:c>
      <x:c r="G20" s="10" t="str">
        <x:v>Use batch-cooked moong if desired</x:v>
      </x:c>
      <x:c r="H20" s="10" t="str">
        <x:v>Soften poha, fold in cooked moong and peas, and heat with permitted salt-free spices using exactly 2 g oil. Serve milk and eggs separately. Eat the seed mix separately. No added salt/onion/garlic.</x:v>
      </x:c>
      <x:c r="I20" s="10" t="n">
        <x:v>511</x:v>
      </x:c>
      <x:c r="J20" s="10" t="n">
        <x:v>32.9</x:v>
      </x:c>
      <x:c r="K20" s="10" t="n">
        <x:v>57.7</x:v>
      </x:c>
      <x:c r="L20" s="10" t="n">
        <x:v>9.3</x:v>
      </x:c>
      <x:c r="M20" s="10" t="n">
        <x:v>16.8</x:v>
      </x:c>
      <x:c r="N20" s="10" t="n">
        <x:v>503.3</x:v>
      </x:c>
      <x:c r="O20" s="10" t="n">
        <x:v>4.8</x:v>
      </x:c>
      <x:c r="P20" s="10" t="n">
        <x:v>155.3</x:v>
      </x:c>
      <x:c r="Q20" s="10" t="n">
        <x:v>1037.7</x:v>
      </x:c>
      <x:c r="R20" s="10" t="n">
        <x:v>1.83</x:v>
      </x:c>
      <x:c r="S20" s="10" t="n">
        <x:v>4.4</x:v>
      </x:c>
      <x:c r="T20" s="10" t="n">
        <x:v>218.4</x:v>
      </x:c>
      <x:c r="U20" s="10" t="n">
        <x:v>1.12</x:v>
      </x:c>
      <x:c r="V20" s="10" t="n">
        <x:v>4.47</x:v>
      </x:c>
      <x:c r="W20" s="10" t="n">
        <x:v>206.5</x:v>
      </x:c>
      <x:c r="X20" s="10" t="n">
        <x:v>226.8</x:v>
      </x:c>
      <x:c r="Y20" s="10" t="n">
        <x:v>21.1</x:v>
      </x:c>
      <x:c r="Z20" s="10" t="n">
        <x:v>2.66</x:v>
      </x:c>
      <x:c r="AA20" s="10" t="n">
        <x:v>15.2</x:v>
      </x:c>
      <x:c r="AB20" s="10" t="n">
        <x:v>0.57</x:v>
      </x:c>
      <x:c r="AC20" s="10" t="n">
        <x:v>1.11</x:v>
      </x:c>
      <x:c r="AD20" s="10" t="n">
        <x:v>3.33</x:v>
      </x:c>
      <x:c r="AE20" s="10" t="n">
        <x:v>2.5</x:v>
      </x:c>
      <x:c r="AF20" s="10" t="n">
        <x:v>0.52</x:v>
      </x:c>
      <x:c r="AG20" s="10" t="n">
        <x:v>13.6</x:v>
      </x:c>
      <x:c r="AH20" s="10" t="n">
        <x:v>1833</x:v>
      </x:c>
      <x:c r="AI20" s="10" t="n">
        <x:v>129.2</x:v>
      </x:c>
      <x:c r="AJ20" s="10" t="n">
        <x:v>46.5</x:v>
      </x:c>
      <x:c r="AK20" s="10" t="n">
        <x:v>1072.8</x:v>
      </x:c>
      <x:c r="AL20" s="10" t="n">
        <x:v>3.23</x:v>
      </x:c>
      <x:c r="AM20" s="10" t="n">
        <x:v>1.82</x:v>
      </x:c>
      <x:c r="AN20" s="10" t="str">
        <x:v>PASS</x:v>
      </x:c>
      <x:c r="AO20" s="10" t="str">
        <x:v>Option 4 is no-cook in the morning. Vitamin D remains the existing food-only gap; Vitamin E is improved by sunflower rotation but remains below the 15 mg RDA in the generic model.</x:v>
      </x:c>
    </x:row>
    <x:row r="21">
      <x:c r="A21" s="10" t="str">
        <x:v>Day 5</x:v>
      </x:c>
      <x:c r="B21" s="10" t="n">
        <x:v>4</x:v>
      </x:c>
      <x:c r="C21" s="10" t="str">
        <x:v>Overnight No-Cook Breakfast Jar + Pre-Cooked Eggs</x:v>
      </x:c>
      <x:c r="D21" s="10" t="str">
        <x:v>NO-COOK MORNING</x:v>
      </x:c>
      <x:c r="E21" s="10" t="str">
        <x:v>Rolled oats 15 g
Ready-to-eat / steam-processed ragi flakes 35 g
Low-fat milk 300 ml
Whole eggs 1
Batch-cooked egg whites 50 g
SEPARATE SEED SIDE:
Sesame seeds 5 g
Sunflower seeds 5 g
Chia seeds 5 g
No added salt; no onion/garlic
Use RTE/steam-processed ragi flakes only — not raw ragi flour</x:v>
      </x:c>
      <x:c r="F21" s="10" t="str">
        <x:v>0 min cooking</x:v>
      </x:c>
      <x:c r="G21" s="10" t="str">
        <x:v>2–3 min assembly; refrigerate ≥6 h</x:v>
      </x:c>
      <x:c r="H21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21" s="10" t="n">
        <x:v>482.1</x:v>
      </x:c>
      <x:c r="J21" s="10" t="n">
        <x:v>29.7</x:v>
      </x:c>
      <x:c r="K21" s="10" t="n">
        <x:v>55.1</x:v>
      </x:c>
      <x:c r="L21" s="10" t="n">
        <x:v>8.4</x:v>
      </x:c>
      <x:c r="M21" s="10" t="n">
        <x:v>15.9</x:v>
      </x:c>
      <x:c r="N21" s="10" t="n">
        <x:v>619.2</x:v>
      </x:c>
      <x:c r="O21" s="10" t="n">
        <x:v>4.5</x:v>
      </x:c>
      <x:c r="P21" s="10" t="n">
        <x:v>169.6</x:v>
      </x:c>
      <x:c r="Q21" s="10" t="n">
        <x:v>883.7</x:v>
      </x:c>
      <x:c r="R21" s="10" t="n">
        <x:v>1.95</x:v>
      </x:c>
      <x:c r="S21" s="10" t="n">
        <x:v>4.7</x:v>
      </x:c>
      <x:c r="T21" s="10" t="n">
        <x:v>80.3</x:v>
      </x:c>
      <x:c r="U21" s="10" t="n">
        <x:v>1.11</x:v>
      </x:c>
      <x:c r="V21" s="10" t="n">
        <x:v>4.47</x:v>
      </x:c>
      <x:c r="W21" s="10" t="n">
        <x:v>218</x:v>
      </x:c>
      <x:c r="X21" s="10" t="n">
        <x:v>218.2</x:v>
      </x:c>
      <x:c r="Y21" s="10" t="n">
        <x:v>0.2</x:v>
      </x:c>
      <x:c r="Z21" s="10" t="n">
        <x:v>2.62</x:v>
      </x:c>
      <x:c r="AA21" s="10" t="n">
        <x:v>1.4</x:v>
      </x:c>
      <x:c r="AB21" s="10" t="n">
        <x:v>0.56</x:v>
      </x:c>
      <x:c r="AC21" s="10" t="n">
        <x:v>1.12</x:v>
      </x:c>
      <x:c r="AD21" s="10" t="n">
        <x:v>1.99</x:v>
      </x:c>
      <x:c r="AE21" s="10" t="n">
        <x:v>2.34</x:v>
      </x:c>
      <x:c r="AF21" s="10" t="n">
        <x:v>0.48</x:v>
      </x:c>
      <x:c r="AG21" s="10" t="n">
        <x:v>15</x:v>
      </x:c>
      <x:c r="AH21" s="10" t="n">
        <x:v>1804.1</x:v>
      </x:c>
      <x:c r="AI21" s="10" t="n">
        <x:v>126</x:v>
      </x:c>
      <x:c r="AJ21" s="10" t="n">
        <x:v>45.6</x:v>
      </x:c>
      <x:c r="AK21" s="10" t="n">
        <x:v>1188.6</x:v>
      </x:c>
      <x:c r="AL21" s="10" t="n">
        <x:v>3.35</x:v>
      </x:c>
      <x:c r="AM21" s="10" t="n">
        <x:v>1.81</x:v>
      </x:c>
      <x:c r="AN21" s="10" t="str">
        <x:v>PASS</x:v>
      </x:c>
      <x:c r="AO21" s="10" t="str">
        <x:v>Option 4 is no-cook in the morning. Vitamin D remains the existing food-only gap; Vitamin E is improved by sunflower rotation but remains below the 15 mg RDA in the generic model.</x:v>
      </x:c>
    </x:row>
    <x:row r="22">
      <x:c r="A22" s="10" t="str">
        <x:v>Day 6</x:v>
      </x:c>
      <x:c r="B22" s="10" t="n">
        <x:v>1</x:v>
      </x:c>
      <x:c r="C22" s="10" t="str">
        <x:v>Warm Oats + Eggs + Separate Seed Side</x:v>
      </x:c>
      <x:c r="D22" s="10" t="str">
        <x:v>Recommended cooked</x:v>
      </x:c>
      <x:c r="E22" s="10" t="str">
        <x:v>Oats 37 g
Low-fat milk 300 ml
Whole eggs 2
SEPARATE SEED SIDE:
Chia seeds 5 g
Hemp hearts 5 g
Pumpkin seeds 5 g
No added salt; no onion/garlic in this milk-containing meal
Do not mix seeds into the milk/oats</x:v>
      </x:c>
      <x:c r="F22" s="10" t="str">
        <x:v>Cook grain/eggs</x:v>
      </x:c>
      <x:c r="G22" s="10" t="str">
        <x:v>Optional seed pre-portion</x:v>
      </x:c>
      <x:c r="H22" s="10" t="str">
        <x:v>Cook the listed oats/ragi with milk. Cook or use batch-prepared eggs/egg whites separately. Eat the measured seed mix from a separate small bowl/container; do not stir it into the milk/grain meal.</x:v>
      </x:c>
      <x:c r="I22" s="10" t="n">
        <x:v>488.4</x:v>
      </x:c>
      <x:c r="J22" s="10" t="n">
        <x:v>31.3</x:v>
      </x:c>
      <x:c r="K22" s="10" t="n">
        <x:v>44</x:v>
      </x:c>
      <x:c r="L22" s="10" t="n">
        <x:v>5.9</x:v>
      </x:c>
      <x:c r="M22" s="10" t="n">
        <x:v>21.3</x:v>
      </x:c>
      <x:c r="N22" s="10" t="n">
        <x:v>487.4</x:v>
      </x:c>
      <x:c r="O22" s="10" t="n">
        <x:v>4.6</x:v>
      </x:c>
      <x:c r="P22" s="10" t="n">
        <x:v>174.3</x:v>
      </x:c>
      <x:c r="Q22" s="10" t="n">
        <x:v>842.9</x:v>
      </x:c>
      <x:c r="R22" s="10" t="n">
        <x:v>2.2</x:v>
      </x:c>
      <x:c r="S22" s="10" t="n">
        <x:v>5.6</x:v>
      </x:c>
      <x:c r="T22" s="10" t="n">
        <x:v>93.6</x:v>
      </x:c>
      <x:c r="U22" s="10" t="n">
        <x:v>1.64</x:v>
      </x:c>
      <x:c r="V22" s="10" t="n">
        <x:v>6.3</x:v>
      </x:c>
      <x:c r="W22" s="10" t="n">
        <x:v>298</x:v>
      </x:c>
      <x:c r="X22" s="10" t="n">
        <x:v>298.2</x:v>
      </x:c>
      <x:c r="Y22" s="10" t="n">
        <x:v>0.2</x:v>
      </x:c>
      <x:c r="Z22" s="10" t="n">
        <x:v>1.53</x:v>
      </x:c>
      <x:c r="AA22" s="10" t="n">
        <x:v>2.3</x:v>
      </x:c>
      <x:c r="AB22" s="10" t="n">
        <x:v>0.57</x:v>
      </x:c>
      <x:c r="AC22" s="10" t="n">
        <x:v>1.09</x:v>
      </x:c>
      <x:c r="AD22" s="10" t="n">
        <x:v>1.86</x:v>
      </x:c>
      <x:c r="AE22" s="10" t="n">
        <x:v>3.09</x:v>
      </x:c>
      <x:c r="AF22" s="10" t="n">
        <x:v>0.39</x:v>
      </x:c>
      <x:c r="AG22" s="10" t="n">
        <x:v>28.8</x:v>
      </x:c>
      <x:c r="AH22" s="10" t="n">
        <x:v>1750.5</x:v>
      </x:c>
      <x:c r="AI22" s="10" t="n">
        <x:v>126.5</x:v>
      </x:c>
      <x:c r="AJ22" s="10" t="n">
        <x:v>43.9</x:v>
      </x:c>
      <x:c r="AK22" s="10" t="n">
        <x:v>1318.1</x:v>
      </x:c>
      <x:c r="AL22" s="10" t="n">
        <x:v>5.8</x:v>
      </x:c>
      <x:c r="AM22" s="10" t="n">
        <x:v>2.84</x:v>
      </x:c>
      <x:c r="AN22" s="10" t="str">
        <x:v>PASS</x:v>
      </x:c>
      <x:c r="AO22" s="10" t="str">
        <x:v>Option 4 is no-cook in the morning. Vitamin D remains the existing food-only gap; Vitamin E is improved by sunflower rotation but remains below the 15 mg RDA in the generic model.</x:v>
      </x:c>
    </x:row>
    <x:row r="23">
      <x:c r="A23" s="10" t="str">
        <x:v>Day 6</x:v>
      </x:c>
      <x:c r="B23" s="10" t="n">
        <x:v>2</x:v>
      </x:c>
      <x:c r="C23" s="10" t="str">
        <x:v>Unsalted Ragi-Moong Chilla + Milk + Egg</x:v>
      </x:c>
      <x:c r="D23" s="10" t="str">
        <x:v>Indian cooked variety</x:v>
      </x:c>
      <x:c r="E23" s="10" t="str">
        <x:v>Ragi flour 25 g
Moong dal (dry) 25 g
Low-fat milk 275 ml
Whole eggs 1
Egg whites 50 g
Cooking oil 2 g
SEPARATE SEED SIDE:
Chia seeds 5 g
Hemp hearts 5 g
Pumpkin seeds 5 g
No added salt; no onion/garlic because milk is part of this breakfast</x:v>
      </x:c>
      <x:c r="F23" s="10" t="str">
        <x:v>6–10 min cooking</x:v>
      </x:c>
      <x:c r="G23" s="10" t="str">
        <x:v>Soak moong / use batch batter</x:v>
      </x:c>
      <x:c r="H23" s="10" t="str">
        <x:v>Use soaked/batch-ground moong with ragi and permitted salt-free spices to make thin chillas with exactly 2 g oil. Serve milk, egg/egg whites and the seed side separately. No added salt/onion/garlic.</x:v>
      </x:c>
      <x:c r="I23" s="10" t="n">
        <x:v>482.1</x:v>
      </x:c>
      <x:c r="J23" s="10" t="n">
        <x:v>32.7</x:v>
      </x:c>
      <x:c r="K23" s="10" t="n">
        <x:v>51.2</x:v>
      </x:c>
      <x:c r="L23" s="10" t="n">
        <x:v>9.2</x:v>
      </x:c>
      <x:c r="M23" s="10" t="n">
        <x:v>16.6</x:v>
      </x:c>
      <x:c r="N23" s="10" t="n">
        <x:v>531.6</x:v>
      </x:c>
      <x:c r="O23" s="10" t="n">
        <x:v>4.9</x:v>
      </x:c>
      <x:c r="P23" s="10" t="n">
        <x:v>204.6</x:v>
      </x:c>
      <x:c r="Q23" s="10" t="n">
        <x:v>1102.8</x:v>
      </x:c>
      <x:c r="R23" s="10" t="n">
        <x:v>1.83</x:v>
      </x:c>
      <x:c r="S23" s="10" t="n">
        <x:v>4.4</x:v>
      </x:c>
      <x:c r="T23" s="10" t="n">
        <x:v>215.6</x:v>
      </x:c>
      <x:c r="U23" s="10" t="n">
        <x:v>1.53</x:v>
      </x:c>
      <x:c r="V23" s="10" t="n">
        <x:v>4.57</x:v>
      </x:c>
      <x:c r="W23" s="10" t="n">
        <x:v>206.5</x:v>
      </x:c>
      <x:c r="X23" s="10" t="n">
        <x:v>208.2</x:v>
      </x:c>
      <x:c r="Y23" s="10" t="n">
        <x:v>1.4</x:v>
      </x:c>
      <x:c r="Z23" s="10" t="n">
        <x:v>1.02</x:v>
      </x:c>
      <x:c r="AA23" s="10" t="n">
        <x:v>3.6</x:v>
      </x:c>
      <x:c r="AB23" s="10" t="n">
        <x:v>0.51</x:v>
      </x:c>
      <x:c r="AC23" s="10" t="n">
        <x:v>1.09</x:v>
      </x:c>
      <x:c r="AD23" s="10" t="n">
        <x:v>2.34</x:v>
      </x:c>
      <x:c r="AE23" s="10" t="n">
        <x:v>2.5</x:v>
      </x:c>
      <x:c r="AF23" s="10" t="n">
        <x:v>0.44</x:v>
      </x:c>
      <x:c r="AG23" s="10" t="n">
        <x:v>13.6</x:v>
      </x:c>
      <x:c r="AH23" s="10" t="n">
        <x:v>1744.3</x:v>
      </x:c>
      <x:c r="AI23" s="10" t="n">
        <x:v>127.9</x:v>
      </x:c>
      <x:c r="AJ23" s="10" t="n">
        <x:v>47.2</x:v>
      </x:c>
      <x:c r="AK23" s="10" t="n">
        <x:v>1362.3</x:v>
      </x:c>
      <x:c r="AL23" s="10" t="n">
        <x:v>5.43</x:v>
      </x:c>
      <x:c r="AM23" s="10" t="n">
        <x:v>2.73</x:v>
      </x:c>
      <x:c r="AN23" s="10" t="str">
        <x:v>PASS</x:v>
      </x:c>
      <x:c r="AO23" s="10" t="str">
        <x:v>Option 4 is no-cook in the morning. Vitamin D remains the existing food-only gap; Vitamin E is improved by sunflower rotation but remains below the 15 mg RDA in the generic model.</x:v>
      </x:c>
    </x:row>
    <x:row r="24">
      <x:c r="A24" s="10" t="str">
        <x:v>Day 6</x:v>
      </x:c>
      <x:c r="B24" s="10" t="n">
        <x:v>3</x:v>
      </x:c>
      <x:c r="C24" s="10" t="str">
        <x:v>Unsalted Poha-Moong Egg Bowl + Milk</x:v>
      </x:c>
      <x:c r="D24" s="10" t="str">
        <x:v>Indian cooked variety</x:v>
      </x:c>
      <x:c r="E24" s="10" t="str">
        <x:v>Thick poha / flattened rice (dry) 25 g
Moong dal (dry) 20 g
Frozen sweet peas [CF] 50 g
Low-fat milk 275 ml
Whole eggs 1
Egg whites 50 g
Cooking oil 2 g
SEPARATE SEED SIDE:
Chia seeds 5 g
Hemp hearts 5 g
Pumpkin seeds 5 g
No added salt; no onion/garlic because milk is part of this breakfast</x:v>
      </x:c>
      <x:c r="F24" s="10" t="str">
        <x:v>6–10 min cooking</x:v>
      </x:c>
      <x:c r="G24" s="10" t="str">
        <x:v>Use batch-cooked moong if desired</x:v>
      </x:c>
      <x:c r="H24" s="10" t="str">
        <x:v>Soften poha, fold in cooked moong and peas, and heat with permitted salt-free spices using exactly 2 g oil. Serve milk and eggs separately. Eat the seed mix separately. No added salt/onion/garlic.</x:v>
      </x:c>
      <x:c r="I24" s="10" t="n">
        <x:v>508.8</x:v>
      </x:c>
      <x:c r="J24" s="10" t="n">
        <x:v>34.1</x:v>
      </x:c>
      <x:c r="K24" s="10" t="n">
        <x:v>56.5</x:v>
      </x:c>
      <x:c r="L24" s="10" t="n">
        <x:v>8.8</x:v>
      </x:c>
      <x:c r="M24" s="10" t="n">
        <x:v>16.7</x:v>
      </x:c>
      <x:c r="N24" s="10" t="n">
        <x:v>456.5</x:v>
      </x:c>
      <x:c r="O24" s="10" t="n">
        <x:v>4.6</x:v>
      </x:c>
      <x:c r="P24" s="10" t="n">
        <x:v>186.2</x:v>
      </x:c>
      <x:c r="Q24" s="10" t="n">
        <x:v>1088</x:v>
      </x:c>
      <x:c r="R24" s="10" t="n">
        <x:v>1.83</x:v>
      </x:c>
      <x:c r="S24" s="10" t="n">
        <x:v>4.4</x:v>
      </x:c>
      <x:c r="T24" s="10" t="n">
        <x:v>210.6</x:v>
      </x:c>
      <x:c r="U24" s="10" t="n">
        <x:v>1.53</x:v>
      </x:c>
      <x:c r="V24" s="10" t="n">
        <x:v>4.57</x:v>
      </x:c>
      <x:c r="W24" s="10" t="n">
        <x:v>206.5</x:v>
      </x:c>
      <x:c r="X24" s="10" t="n">
        <x:v>226.9</x:v>
      </x:c>
      <x:c r="Y24" s="10" t="n">
        <x:v>21.2</x:v>
      </x:c>
      <x:c r="Z24" s="10" t="n">
        <x:v>1.03</x:v>
      </x:c>
      <x:c r="AA24" s="10" t="n">
        <x:v>15.6</x:v>
      </x:c>
      <x:c r="AB24" s="10" t="n">
        <x:v>0.53</x:v>
      </x:c>
      <x:c r="AC24" s="10" t="n">
        <x:v>1.11</x:v>
      </x:c>
      <x:c r="AD24" s="10" t="n">
        <x:v>3.4</x:v>
      </x:c>
      <x:c r="AE24" s="10" t="n">
        <x:v>2.53</x:v>
      </x:c>
      <x:c r="AF24" s="10" t="n">
        <x:v>0.45</x:v>
      </x:c>
      <x:c r="AG24" s="10" t="n">
        <x:v>13.8</x:v>
      </x:c>
      <x:c r="AH24" s="10" t="n">
        <x:v>1770.9</x:v>
      </x:c>
      <x:c r="AI24" s="10" t="n">
        <x:v>129.3</x:v>
      </x:c>
      <x:c r="AJ24" s="10" t="n">
        <x:v>46.8</x:v>
      </x:c>
      <x:c r="AK24" s="10" t="n">
        <x:v>1287.2</x:v>
      </x:c>
      <x:c r="AL24" s="10" t="n">
        <x:v>5.43</x:v>
      </x:c>
      <x:c r="AM24" s="10" t="n">
        <x:v>2.73</x:v>
      </x:c>
      <x:c r="AN24" s="10" t="str">
        <x:v>PASS</x:v>
      </x:c>
      <x:c r="AO24" s="10" t="str">
        <x:v>Option 4 is no-cook in the morning. Vitamin D remains the existing food-only gap; Vitamin E is improved by sunflower rotation but remains below the 15 mg RDA in the generic model.</x:v>
      </x:c>
    </x:row>
    <x:row r="25">
      <x:c r="A25" s="10" t="str">
        <x:v>Day 6</x:v>
      </x:c>
      <x:c r="B25" s="10" t="n">
        <x:v>4</x:v>
      </x:c>
      <x:c r="C25" s="10" t="str">
        <x:v>Overnight No-Cook Breakfast Jar + Pre-Cooked Eggs</x:v>
      </x:c>
      <x:c r="D25" s="10" t="str">
        <x:v>NO-COOK MORNING</x:v>
      </x:c>
      <x:c r="E25" s="10" t="str">
        <x:v>Ready-to-eat / steam-processed ragi flakes 20 g
Thick poha / flattened rice 30 g
Low-fat milk 300 ml
Whole eggs 2
SEPARATE SEED SIDE:
Chia seeds 5 g
Hemp hearts 5 g
Pumpkin seeds 5 g
No added salt; no onion/garlic
Use RTE/steam-processed ragi flakes only — not raw ragi flour</x:v>
      </x:c>
      <x:c r="F25" s="10" t="str">
        <x:v>0 min cooking</x:v>
      </x:c>
      <x:c r="G25" s="10" t="str">
        <x:v>2–3 min assembly; refrigerate ≥6 h</x:v>
      </x:c>
      <x:c r="H25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25" s="10" t="n">
        <x:v>522.1</x:v>
      </x:c>
      <x:c r="J25" s="10" t="n">
        <x:v>30.1</x:v>
      </x:c>
      <x:c r="K25" s="10" t="n">
        <x:v>56.3</x:v>
      </x:c>
      <x:c r="L25" s="10" t="n">
        <x:v>5.4</x:v>
      </x:c>
      <x:c r="M25" s="10" t="n">
        <x:v>19.5</x:v>
      </x:c>
      <x:c r="N25" s="10" t="n">
        <x:v>543.1</x:v>
      </x:c>
      <x:c r="O25" s="10" t="n">
        <x:v>4.3</x:v>
      </x:c>
      <x:c r="P25" s="10" t="n">
        <x:v>164.2</x:v>
      </x:c>
      <x:c r="Q25" s="10" t="n">
        <x:v>828.9</x:v>
      </x:c>
      <x:c r="R25" s="10" t="n">
        <x:v>2.45</x:v>
      </x:c>
      <x:c r="S25" s="10" t="n">
        <x:v>5.8</x:v>
      </x:c>
      <x:c r="T25" s="10" t="n">
        <x:v>83.9</x:v>
      </x:c>
      <x:c r="U25" s="10" t="n">
        <x:v>1.55</x:v>
      </x:c>
      <x:c r="V25" s="10" t="n">
        <x:v>5.96</x:v>
      </x:c>
      <x:c r="W25" s="10" t="n">
        <x:v>298</x:v>
      </x:c>
      <x:c r="X25" s="10" t="n">
        <x:v>298.2</x:v>
      </x:c>
      <x:c r="Y25" s="10" t="n">
        <x:v>0.2</x:v>
      </x:c>
      <x:c r="Z25" s="10" t="n">
        <x:v>1.46</x:v>
      </x:c>
      <x:c r="AA25" s="10" t="n">
        <x:v>1.6</x:v>
      </x:c>
      <x:c r="AB25" s="10" t="n">
        <x:v>0.39</x:v>
      </x:c>
      <x:c r="AC25" s="10" t="n">
        <x:v>1.09</x:v>
      </x:c>
      <x:c r="AD25" s="10" t="n">
        <x:v>2.21</x:v>
      </x:c>
      <x:c r="AE25" s="10" t="n">
        <x:v>2.93</x:v>
      </x:c>
      <x:c r="AF25" s="10" t="n">
        <x:v>0.46</x:v>
      </x:c>
      <x:c r="AG25" s="10" t="n">
        <x:v>22.1</x:v>
      </x:c>
      <x:c r="AH25" s="10" t="n">
        <x:v>1784.2</x:v>
      </x:c>
      <x:c r="AI25" s="10" t="n">
        <x:v>125.3</x:v>
      </x:c>
      <x:c r="AJ25" s="10" t="n">
        <x:v>43.4</x:v>
      </x:c>
      <x:c r="AK25" s="10" t="n">
        <x:v>1373.8</x:v>
      </x:c>
      <x:c r="AL25" s="10" t="n">
        <x:v>6.05</x:v>
      </x:c>
      <x:c r="AM25" s="10" t="n">
        <x:v>2.75</x:v>
      </x:c>
      <x:c r="AN25" s="10" t="str">
        <x:v>PASS</x:v>
      </x:c>
      <x:c r="AO25" s="10" t="str">
        <x:v>Option 4 is no-cook in the morning. Vitamin D remains the existing food-only gap; Vitamin E is improved by sunflower rotation but remains below the 15 mg RDA in the generic model.</x:v>
      </x:c>
    </x:row>
    <x:row r="26">
      <x:c r="A26" s="10" t="str">
        <x:v>Day 7</x:v>
      </x:c>
      <x:c r="B26" s="10" t="n">
        <x:v>1</x:v>
      </x:c>
      <x:c r="C26" s="10" t="str">
        <x:v>Warm Oats + Eggs + Separate Seed Side</x:v>
      </x:c>
      <x:c r="D26" s="10" t="str">
        <x:v>Recommended cooked</x:v>
      </x:c>
      <x:c r="E26" s="10" t="str">
        <x:v>Oats 38 g
Low-fat milk 300 ml
Whole eggs 1
Egg whites 100 g
SEPARATE SEED SIDE:
Ground flaxseed 5 g
Chia seeds 5 g
Sunflower seeds 5 g
No added salt; no onion/garlic in this milk-containing meal
Do not mix seeds into the milk/oats</x:v>
      </x:c>
      <x:c r="F26" s="10" t="str">
        <x:v>Cook grain/eggs</x:v>
      </x:c>
      <x:c r="G26" s="10" t="str">
        <x:v>Optional seed pre-portion</x:v>
      </x:c>
      <x:c r="H26" s="10" t="str">
        <x:v>Cook the listed oats/ragi with milk. Cook or use batch-prepared eggs/egg whites separately. Eat the measured seed mix from a separate small bowl/container; do not stir it into the milk/grain meal.</x:v>
      </x:c>
      <x:c r="I26" s="10" t="n">
        <x:v>473.1</x:v>
      </x:c>
      <x:c r="J26" s="10" t="n">
        <x:v>35</x:v>
      </x:c>
      <x:c r="K26" s="10" t="n">
        <x:v>46.4</x:v>
      </x:c>
      <x:c r="L26" s="10" t="n">
        <x:v>7.3</x:v>
      </x:c>
      <x:c r="M26" s="10" t="n">
        <x:v>16.6</x:v>
      </x:c>
      <x:c r="N26" s="10" t="n">
        <x:v>477.8</x:v>
      </x:c>
      <x:c r="O26" s="10" t="n">
        <x:v>3.5</x:v>
      </x:c>
      <x:c r="P26" s="10" t="n">
        <x:v>152.3</x:v>
      </x:c>
      <x:c r="Q26" s="10" t="n">
        <x:v>908.1</x:v>
      </x:c>
      <x:c r="R26" s="10" t="n">
        <x:v>1.9</x:v>
      </x:c>
      <x:c r="S26" s="10" t="n">
        <x:v>4.6</x:v>
      </x:c>
      <x:c r="T26" s="10" t="n">
        <x:v>81.9</x:v>
      </x:c>
      <x:c r="U26" s="10" t="n">
        <x:v>2.25</x:v>
      </x:c>
      <x:c r="V26" s="10" t="n">
        <x:v>4.49</x:v>
      </x:c>
      <x:c r="W26" s="10" t="n">
        <x:v>218</x:v>
      </x:c>
      <x:c r="X26" s="10" t="n">
        <x:v>218.2</x:v>
      </x:c>
      <x:c r="Y26" s="10" t="n">
        <x:v>0.2</x:v>
      </x:c>
      <x:c r="Z26" s="10" t="n">
        <x:v>2.64</x:v>
      </x:c>
      <x:c r="AA26" s="10" t="n">
        <x:v>2</x:v>
      </x:c>
      <x:c r="AB26" s="10" t="n">
        <x:v>0.64</x:v>
      </x:c>
      <x:c r="AC26" s="10" t="n">
        <x:v>1.31</x:v>
      </x:c>
      <x:c r="AD26" s="10" t="n">
        <x:v>1.8</x:v>
      </x:c>
      <x:c r="AE26" s="10" t="n">
        <x:v>2.61</x:v>
      </x:c>
      <x:c r="AF26" s="10" t="n">
        <x:v>0.36</x:v>
      </x:c>
      <x:c r="AG26" s="10" t="n">
        <x:v>18.9</x:v>
      </x:c>
      <x:c r="AH26" s="10" t="n">
        <x:v>1753.1</x:v>
      </x:c>
      <x:c r="AI26" s="10" t="n">
        <x:v>122.5</x:v>
      </x:c>
      <x:c r="AJ26" s="10" t="n">
        <x:v>42.4</x:v>
      </x:c>
      <x:c r="AK26" s="10" t="n">
        <x:v>1023.5</x:v>
      </x:c>
      <x:c r="AL26" s="10" t="n">
        <x:v>3.3</x:v>
      </x:c>
      <x:c r="AM26" s="10" t="n">
        <x:v>3.15</x:v>
      </x:c>
      <x:c r="AN26" s="10" t="str">
        <x:v>PASS</x:v>
      </x:c>
      <x:c r="AO26" s="10" t="str">
        <x:v>Option 4 is no-cook in the morning. Vitamin D remains the existing food-only gap; Vitamin E is improved by sunflower rotation but remains below the 15 mg RDA in the generic model.</x:v>
      </x:c>
    </x:row>
    <x:row r="27">
      <x:c r="A27" s="10" t="str">
        <x:v>Day 7</x:v>
      </x:c>
      <x:c r="B27" s="10" t="n">
        <x:v>2</x:v>
      </x:c>
      <x:c r="C27" s="10" t="str">
        <x:v>Unsalted Ragi-Moong Chilla + Milk + Egg</x:v>
      </x:c>
      <x:c r="D27" s="10" t="str">
        <x:v>Indian cooked variety</x:v>
      </x:c>
      <x:c r="E27" s="10" t="str">
        <x:v>Ragi flour 25 g
Moong dal (dry) 25 g
Low-fat milk 275 ml
Whole eggs 1
Egg whites 50 g
Cooking oil 2 g
SEPARATE SEED SIDE:
Ground flaxseed 5 g
Chia seeds 5 g
Sunflower seeds 5 g
No added salt; no onion/garlic because milk is part of this breakfast</x:v>
      </x:c>
      <x:c r="F27" s="10" t="str">
        <x:v>6–10 min cooking</x:v>
      </x:c>
      <x:c r="G27" s="10" t="str">
        <x:v>Soak moong / use batch batter</x:v>
      </x:c>
      <x:c r="H27" s="10" t="str">
        <x:v>Use soaked/batch-ground moong with ragi and permitted salt-free spices to make thin chillas with exactly 2 g oil. Serve milk, egg/egg whites and the seed side separately. No added salt/onion/garlic.</x:v>
      </x:c>
      <x:c r="I27" s="10" t="n">
        <x:v>482.4</x:v>
      </x:c>
      <x:c r="J27" s="10" t="n">
        <x:v>31.6</x:v>
      </x:c>
      <x:c r="K27" s="10" t="n">
        <x:v>52.6</x:v>
      </x:c>
      <x:c r="L27" s="10" t="n">
        <x:v>10.5</x:v>
      </x:c>
      <x:c r="M27" s="10" t="n">
        <x:v>16.4</x:v>
      </x:c>
      <x:c r="N27" s="10" t="n">
        <x:v>542.4</x:v>
      </x:c>
      <x:c r="O27" s="10" t="n">
        <x:v>4.6</x:v>
      </x:c>
      <x:c r="P27" s="10" t="n">
        <x:v>175.8</x:v>
      </x:c>
      <x:c r="Q27" s="10" t="n">
        <x:v>1069.8</x:v>
      </x:c>
      <x:c r="R27" s="10" t="n">
        <x:v>1.83</x:v>
      </x:c>
      <x:c r="S27" s="10" t="n">
        <x:v>4.4</x:v>
      </x:c>
      <x:c r="T27" s="10" t="n">
        <x:v>222.9</x:v>
      </x:c>
      <x:c r="U27" s="10" t="n">
        <x:v>2.23</x:v>
      </x:c>
      <x:c r="V27" s="10" t="n">
        <x:v>4.31</x:v>
      </x:c>
      <x:c r="W27" s="10" t="n">
        <x:v>206.5</x:v>
      </x:c>
      <x:c r="X27" s="10" t="n">
        <x:v>208.2</x:v>
      </x:c>
      <x:c r="Y27" s="10" t="n">
        <x:v>1.4</x:v>
      </x:c>
      <x:c r="Z27" s="10" t="n">
        <x:v>2.65</x:v>
      </x:c>
      <x:c r="AA27" s="10" t="n">
        <x:v>3.4</x:v>
      </x:c>
      <x:c r="AB27" s="10" t="n">
        <x:v>0.59</x:v>
      </x:c>
      <x:c r="AC27" s="10" t="n">
        <x:v>1.09</x:v>
      </x:c>
      <x:c r="AD27" s="10" t="n">
        <x:v>2.2</x:v>
      </x:c>
      <x:c r="AE27" s="10" t="n">
        <x:v>2.52</x:v>
      </x:c>
      <x:c r="AF27" s="10" t="n">
        <x:v>0.49</x:v>
      </x:c>
      <x:c r="AG27" s="10" t="n">
        <x:v>13.5</x:v>
      </x:c>
      <x:c r="AH27" s="10" t="n">
        <x:v>1762.5</x:v>
      </x:c>
      <x:c r="AI27" s="10" t="n">
        <x:v>119.1</x:v>
      </x:c>
      <x:c r="AJ27" s="10" t="n">
        <x:v>45.6</x:v>
      </x:c>
      <x:c r="AK27" s="10" t="n">
        <x:v>1088.1</x:v>
      </x:c>
      <x:c r="AL27" s="10" t="n">
        <x:v>3.23</x:v>
      </x:c>
      <x:c r="AM27" s="10" t="n">
        <x:v>3.13</x:v>
      </x:c>
      <x:c r="AN27" s="10" t="str">
        <x:v>PASS</x:v>
      </x:c>
      <x:c r="AO27" s="10" t="str">
        <x:v>Option 4 is no-cook in the morning. Vitamin D remains the existing food-only gap; Vitamin E is improved by sunflower rotation but remains below the 15 mg RDA in the generic model.</x:v>
      </x:c>
    </x:row>
    <x:row r="28">
      <x:c r="A28" s="10" t="str">
        <x:v>Day 7</x:v>
      </x:c>
      <x:c r="B28" s="10" t="n">
        <x:v>3</x:v>
      </x:c>
      <x:c r="C28" s="10" t="str">
        <x:v>Unsalted Poha-Moong Egg Bowl + Milk</x:v>
      </x:c>
      <x:c r="D28" s="10" t="str">
        <x:v>Indian cooked variety</x:v>
      </x:c>
      <x:c r="E28" s="10" t="str">
        <x:v>Thick poha / flattened rice (dry) 25 g
Moong dal (dry) 20 g
Frozen sweet peas [CF] 50 g
Low-fat milk 275 ml
Whole eggs 1
Egg whites 50 g
Cooking oil 2 g
SEPARATE SEED SIDE:
Ground flaxseed 5 g
Chia seeds 5 g
Sunflower seeds 5 g
No added salt; no onion/garlic because milk is part of this breakfast</x:v>
      </x:c>
      <x:c r="F28" s="10" t="str">
        <x:v>6–10 min cooking</x:v>
      </x:c>
      <x:c r="G28" s="10" t="str">
        <x:v>Use batch-cooked moong if desired</x:v>
      </x:c>
      <x:c r="H28" s="10" t="str">
        <x:v>Soften poha, fold in cooked moong and peas, and heat with permitted salt-free spices using exactly 2 g oil. Serve milk and eggs separately. Eat the seed mix separately. No added salt/onion/garlic.</x:v>
      </x:c>
      <x:c r="I28" s="10" t="n">
        <x:v>509.1</x:v>
      </x:c>
      <x:c r="J28" s="10" t="n">
        <x:v>33</x:v>
      </x:c>
      <x:c r="K28" s="10" t="n">
        <x:v>58</x:v>
      </x:c>
      <x:c r="L28" s="10" t="n">
        <x:v>10.1</x:v>
      </x:c>
      <x:c r="M28" s="10" t="n">
        <x:v>16.5</x:v>
      </x:c>
      <x:c r="N28" s="10" t="n">
        <x:v>467.3</x:v>
      </x:c>
      <x:c r="O28" s="10" t="n">
        <x:v>4.4</x:v>
      </x:c>
      <x:c r="P28" s="10" t="n">
        <x:v>157.4</x:v>
      </x:c>
      <x:c r="Q28" s="10" t="n">
        <x:v>1055</x:v>
      </x:c>
      <x:c r="R28" s="10" t="n">
        <x:v>1.83</x:v>
      </x:c>
      <x:c r="S28" s="10" t="n">
        <x:v>4.4</x:v>
      </x:c>
      <x:c r="T28" s="10" t="n">
        <x:v>217.9</x:v>
      </x:c>
      <x:c r="U28" s="10" t="n">
        <x:v>2.24</x:v>
      </x:c>
      <x:c r="V28" s="10" t="n">
        <x:v>4.31</x:v>
      </x:c>
      <x:c r="W28" s="10" t="n">
        <x:v>206.5</x:v>
      </x:c>
      <x:c r="X28" s="10" t="n">
        <x:v>226.8</x:v>
      </x:c>
      <x:c r="Y28" s="10" t="n">
        <x:v>21.1</x:v>
      </x:c>
      <x:c r="Z28" s="10" t="n">
        <x:v>2.66</x:v>
      </x:c>
      <x:c r="AA28" s="10" t="n">
        <x:v>15.4</x:v>
      </x:c>
      <x:c r="AB28" s="10" t="n">
        <x:v>0.61</x:v>
      </x:c>
      <x:c r="AC28" s="10" t="n">
        <x:v>1.11</x:v>
      </x:c>
      <x:c r="AD28" s="10" t="n">
        <x:v>3.26</x:v>
      </x:c>
      <x:c r="AE28" s="10" t="n">
        <x:v>2.55</x:v>
      </x:c>
      <x:c r="AF28" s="10" t="n">
        <x:v>0.5</x:v>
      </x:c>
      <x:c r="AG28" s="10" t="n">
        <x:v>13.7</x:v>
      </x:c>
      <x:c r="AH28" s="10" t="n">
        <x:v>1789.1</x:v>
      </x:c>
      <x:c r="AI28" s="10" t="n">
        <x:v>120.5</x:v>
      </x:c>
      <x:c r="AJ28" s="10" t="n">
        <x:v>45.2</x:v>
      </x:c>
      <x:c r="AK28" s="10" t="n">
        <x:v>1013</x:v>
      </x:c>
      <x:c r="AL28" s="10" t="n">
        <x:v>3.23</x:v>
      </x:c>
      <x:c r="AM28" s="10" t="n">
        <x:v>3.14</x:v>
      </x:c>
      <x:c r="AN28" s="10" t="str">
        <x:v>PASS</x:v>
      </x:c>
      <x:c r="AO28" s="10" t="str">
        <x:v>Option 4 is no-cook in the morning. Vitamin D remains the existing food-only gap; Vitamin E is improved by sunflower rotation but remains below the 15 mg RDA in the generic model.</x:v>
      </x:c>
    </x:row>
    <x:row r="29">
      <x:c r="A29" s="10" t="str">
        <x:v>Day 7</x:v>
      </x:c>
      <x:c r="B29" s="10" t="n">
        <x:v>4</x:v>
      </x:c>
      <x:c r="C29" s="10" t="str">
        <x:v>Overnight No-Cook Breakfast Jar + Pre-Cooked Eggs</x:v>
      </x:c>
      <x:c r="D29" s="10" t="str">
        <x:v>NO-COOK MORNING</x:v>
      </x:c>
      <x:c r="E29" s="10" t="str">
        <x:v>Rolled oats 30 g
Ready-to-eat / steam-processed ragi flakes 20 g
Low-fat milk 300 ml
Whole eggs 1
Batch-cooked egg whites 100 g
SEPARATE SEED SIDE:
Ground flaxseed 5 g
Chia seeds 5 g
Sunflower seeds 5 g
No added salt; no onion/garlic
Use RTE/steam-processed ragi flakes only — not raw ragi flour</x:v>
      </x:c>
      <x:c r="F29" s="10" t="str">
        <x:v>0 min cooking</x:v>
      </x:c>
      <x:c r="G29" s="10" t="str">
        <x:v>2–3 min assembly; refrigerate ≥6 h</x:v>
      </x:c>
      <x:c r="H29" s="10" t="str">
        <x:v>At night, combine only the listed grain/flakes and milk in a covered jar and refrigerate. Portion the seed mix in a separate container. Use eggs/egg-white portions cooked in batch earlier. In the morning, eat directly with no cooking. Keep refrigerated ≤4°C/40°F and use within 24 hours.</x:v>
      </x:c>
      <x:c r="I29" s="10" t="n">
        <x:v>514.1</x:v>
      </x:c>
      <x:c r="J29" s="10" t="n">
        <x:v>36.6</x:v>
      </x:c>
      <x:c r="K29" s="10" t="n">
        <x:v>54.9</x:v>
      </x:c>
      <x:c r="L29" s="10" t="n">
        <x:v>9</x:v>
      </x:c>
      <x:c r="M29" s="10" t="n">
        <x:v>16.4</x:v>
      </x:c>
      <x:c r="N29" s="10" t="n">
        <x:v>543.2</x:v>
      </x:c>
      <x:c r="O29" s="10" t="n">
        <x:v>4.2</x:v>
      </x:c>
      <x:c r="P29" s="10" t="n">
        <x:v>183.1</x:v>
      </x:c>
      <x:c r="Q29" s="10" t="n">
        <x:v>985.6</x:v>
      </x:c>
      <x:c r="R29" s="10" t="n">
        <x:v>1.99</x:v>
      </x:c>
      <x:c r="S29" s="10" t="n">
        <x:v>4.7</x:v>
      </x:c>
      <x:c r="T29" s="10" t="n">
        <x:v>85</x:v>
      </x:c>
      <x:c r="U29" s="10" t="n">
        <x:v>2.24</x:v>
      </x:c>
      <x:c r="V29" s="10" t="n">
        <x:v>4.45</x:v>
      </x:c>
      <x:c r="W29" s="10" t="n">
        <x:v>218</x:v>
      </x:c>
      <x:c r="X29" s="10" t="n">
        <x:v>218.2</x:v>
      </x:c>
      <x:c r="Y29" s="10" t="n">
        <x:v>0.2</x:v>
      </x:c>
      <x:c r="Z29" s="10" t="n">
        <x:v>2.65</x:v>
      </x:c>
      <x:c r="AA29" s="10" t="n">
        <x:v>1.9</x:v>
      </x:c>
      <x:c r="AB29" s="10" t="n">
        <x:v>0.66</x:v>
      </x:c>
      <x:c r="AC29" s="10" t="n">
        <x:v>1.33</x:v>
      </x:c>
      <x:c r="AD29" s="10" t="n">
        <x:v>1.95</x:v>
      </x:c>
      <x:c r="AE29" s="10" t="n">
        <x:v>2.6</x:v>
      </x:c>
      <x:c r="AF29" s="10" t="n">
        <x:v>0.42</x:v>
      </x:c>
      <x:c r="AG29" s="10" t="n">
        <x:v>17.8</x:v>
      </x:c>
      <x:c r="AH29" s="10" t="n">
        <x:v>1794.1</x:v>
      </x:c>
      <x:c r="AI29" s="10" t="n">
        <x:v>124.1</x:v>
      </x:c>
      <x:c r="AJ29" s="10" t="n">
        <x:v>44.1</x:v>
      </x:c>
      <x:c r="AK29" s="10" t="n">
        <x:v>1088.9</x:v>
      </x:c>
      <x:c r="AL29" s="10" t="n">
        <x:v>3.39</x:v>
      </x:c>
      <x:c r="AM29" s="10" t="n">
        <x:v>3.14</x:v>
      </x:c>
      <x:c r="AN29" s="10" t="str">
        <x:v>PASS</x:v>
      </x:c>
      <x:c r="AO29" s="10" t="str">
        <x:v>Option 4 is no-cook in the morning. Vitamin D remains the existing food-only gap; Vitamin E is improved by sunflower rotation but remains below the 15 mg RDA in the generic model.</x:v>
      </x:c>
    </x:row>
  </x:sheetData>
  <x:conditionalFormatting sqref="AH2:AH29">
    <x:cfRule type="expression" dxfId="92" priority="1">
      <x:formula>AND(AH2&gt;=1700,AH2&lt;=1900)</x:formula>
    </x:cfRule>
    <x:cfRule type="expression" dxfId="93" priority="2">
      <x:formula>OR(AH2&lt;1700,AH2&gt;1900)</x:formula>
    </x:cfRule>
  </x:conditionalFormatting>
  <x:conditionalFormatting sqref="AI2:AI29">
    <x:cfRule type="expression" dxfId="94" priority="3">
      <x:formula>AND(AI2&gt;=110,AI2&lt;=130)</x:formula>
    </x:cfRule>
    <x:cfRule type="expression" dxfId="95" priority="4">
      <x:formula>OR(AI2&lt;110,AI2&gt;130)</x:formula>
    </x:cfRule>
  </x:conditionalFormatting>
  <x:conditionalFormatting sqref="AJ2:AJ29">
    <x:cfRule type="expression" dxfId="96" priority="5">
      <x:formula>AJ2&gt;=38</x:formula>
    </x:cfRule>
    <x:cfRule type="expression" dxfId="97" priority="6">
      <x:formula>AJ2&lt;38</x:formula>
    </x:cfRule>
  </x:conditionalFormatting>
  <x:conditionalFormatting sqref="AK2:AK29">
    <x:cfRule type="expression" dxfId="98" priority="7">
      <x:formula>AK2&gt;=1000</x:formula>
    </x:cfRule>
    <x:cfRule type="expression" dxfId="99" priority="8">
      <x:formula>AK2&lt;1000</x:formula>
    </x:cfRule>
  </x:conditionalFormatting>
  <x:conditionalFormatting sqref="AL2:AL29">
    <x:cfRule type="expression" dxfId="100" priority="9">
      <x:formula>AL2&gt;=2.4</x:formula>
    </x:cfRule>
    <x:cfRule type="expression" dxfId="101" priority="10">
      <x:formula>AL2&lt;2.4</x:formula>
    </x:cfRule>
  </x:conditionalFormatting>
  <x:conditionalFormatting sqref="AM2:AM29">
    <x:cfRule type="expression" dxfId="102" priority="11">
      <x:formula>AM2&gt;=1.6</x:formula>
    </x:cfRule>
    <x:cfRule type="expression" dxfId="103" priority="12">
      <x:formula>AM2&lt;1.6</x:formula>
    </x:cfRule>
  </x:conditionalFormatting>
  <x:conditionalFormatting sqref="AN2:AN29">
    <x:cfRule type="expression" dxfId="104" priority="13">
      <x:formula>AN2="PASS"</x:formula>
    </x:cfRule>
    <x:cfRule type="expression" dxfId="105" priority="14">
      <x:formula>AN2&lt;&gt;"PASS"</x:formula>
    </x:cfRule>
  </x:conditionalFormatting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58" hidden="0" customWidth="1"/>
    <x:col min="7" max="7" width="48" hidden="0" customWidth="1"/>
  </x:cols>
  <x:sheetData>
    <x:row r="1">
      <x:c r="A1" s="93" t="str">
        <x:v>Breakfast Revision — Version 1 Approval Summary</x:v>
      </x:c>
      <x:c r="B1" s="93"/>
      <x:c r="C1" s="93"/>
      <x:c r="D1" s="93"/>
      <x:c r="E1" s="93"/>
      <x:c r="F1" s="93"/>
      <x:c r="G1" s="93"/>
      <x:c r="H1" s="93"/>
    </x:row>
    <x:row r="3">
      <x:c r="A3" s="88" t="str">
        <x:v>Item</x:v>
      </x:c>
      <x:c r="B3" s="88" t="str">
        <x:v>Result</x:v>
      </x:c>
    </x:row>
    <x:row r="4">
      <x:c r="A4" s="10" t="str">
        <x:v>Breakfast options</x:v>
      </x:c>
      <x:c r="B4" s="10" t="str">
        <x:v>28 total / 4 per day</x:v>
      </x:c>
    </x:row>
    <x:row r="5">
      <x:c r="A5" s="10" t="str">
        <x:v>No-cook overnight options</x:v>
      </x:c>
      <x:c r="B5" s="10" t="str">
        <x:v>7 / 7 days</x:v>
      </x:c>
    </x:row>
    <x:row r="6">
      <x:c r="A6" s="10" t="str">
        <x:v>Seed varieties</x:v>
      </x:c>
      <x:c r="B6" s="10" t="str">
        <x:v>Chia, flax, hemp, pumpkin, sunflower, sesame</x:v>
      </x:c>
    </x:row>
    <x:row r="7">
      <x:c r="A7" s="10" t="str">
        <x:v>Morning cooking for Option 4</x:v>
      </x:c>
      <x:c r="B7" s="10" t="str">
        <x:v>0 minutes</x:v>
      </x:c>
    </x:row>
    <x:row r="8">
      <x:c r="A8" s="10" t="str">
        <x:v>Core target screen</x:v>
      </x:c>
      <x:c r="B8" s="10" t="str">
        <x:v>28 / 28 PASS</x:v>
      </x:c>
    </x:row>
    <x:row r="10">
      <x:c r="A10" s="98" t="str">
        <x:v>Day</x:v>
      </x:c>
      <x:c r="B10" s="98" t="str">
        <x:v>Calories</x:v>
      </x:c>
      <x:c r="C10" s="98" t="str">
        <x:v>Protein g</x:v>
      </x:c>
      <x:c r="D10" s="98" t="str">
        <x:v>Fiber g</x:v>
      </x:c>
      <x:c r="E10" s="98" t="str">
        <x:v>Omega-3 g</x:v>
      </x:c>
      <x:c r="F10" s="98" t="str">
        <x:v>Vitamin E mg</x:v>
      </x:c>
      <x:c r="G10" s="98" t="str">
        <x:v>Seed Mix</x:v>
      </x:c>
    </x:row>
    <x:row r="11">
      <x:c r="A11" s="10" t="str">
        <x:v>Day 1</x:v>
      </x:c>
      <x:c r="B11" s="10" t="n">
        <x:v>1772.9</x:v>
      </x:c>
      <x:c r="C11" s="10" t="n">
        <x:v>120.3</x:v>
      </x:c>
      <x:c r="D11" s="10" t="n">
        <x:v>38.2</x:v>
      </x:c>
      <x:c r="E11" s="10" t="n">
        <x:v>4.73</x:v>
      </x:c>
      <x:c r="F11" s="10" t="n">
        <x:v>4.48</x:v>
      </x:c>
      <x:c r="G11" s="10" t="str">
        <x:v>Chia seeds 8 g + Ground flaxseed 7 g + Hemp hearts 5 g</x:v>
      </x:c>
    </x:row>
    <x:row r="12">
      <x:c r="A12" s="10" t="str">
        <x:v>Day 2</x:v>
      </x:c>
      <x:c r="B12" s="10" t="n">
        <x:v>1810.9</x:v>
      </x:c>
      <x:c r="C12" s="10" t="n">
        <x:v>124.3</x:v>
      </x:c>
      <x:c r="D12" s="10" t="n">
        <x:v>47.7</x:v>
      </x:c>
      <x:c r="E12" s="10" t="n">
        <x:v>2.42</x:v>
      </x:c>
      <x:c r="F12" s="10" t="n">
        <x:v>7.18</x:v>
      </x:c>
      <x:c r="G12" s="10" t="str">
        <x:v>Sesame seeds 5 g + Hemp hearts 5 g + Chia seeds 5 g</x:v>
      </x:c>
    </x:row>
    <x:row r="13">
      <x:c r="A13" s="10" t="str">
        <x:v>Day 3</x:v>
      </x:c>
      <x:c r="B13" s="10" t="n">
        <x:v>1779.6</x:v>
      </x:c>
      <x:c r="C13" s="10" t="n">
        <x:v>124.3</x:v>
      </x:c>
      <x:c r="D13" s="10" t="n">
        <x:v>43.7</x:v>
      </x:c>
      <x:c r="E13" s="10" t="n">
        <x:v>2.01</x:v>
      </x:c>
      <x:c r="F13" s="10" t="n">
        <x:v>6.53</x:v>
      </x:c>
      <x:c r="G13" s="10" t="str">
        <x:v>Chia seeds 5 g + Pumpkin seeds 5 g + Sunflower seeds 5 g</x:v>
      </x:c>
    </x:row>
    <x:row r="14">
      <x:c r="A14" s="10" t="str">
        <x:v>Day 4</x:v>
      </x:c>
      <x:c r="B14" s="10" t="n">
        <x:v>1808.7</x:v>
      </x:c>
      <x:c r="C14" s="10" t="n">
        <x:v>129.2</x:v>
      </x:c>
      <x:c r="D14" s="10" t="n">
        <x:v>40</x:v>
      </x:c>
      <x:c r="E14" s="10" t="n">
        <x:v>2.89</x:v>
      </x:c>
      <x:c r="F14" s="10" t="n">
        <x:v>8.03</x:v>
      </x:c>
      <x:c r="G14" s="10" t="str">
        <x:v>Ground flaxseed 5 g + Hemp hearts 5 g + Sunflower seeds 5 g</x:v>
      </x:c>
    </x:row>
    <x:row r="15">
      <x:c r="A15" s="10" t="str">
        <x:v>Day 5</x:v>
      </x:c>
      <x:c r="B15" s="10" t="n">
        <x:v>1778.8</x:v>
      </x:c>
      <x:c r="C15" s="10" t="n">
        <x:v>124.3</x:v>
      </x:c>
      <x:c r="D15" s="10" t="n">
        <x:v>45.2</x:v>
      </x:c>
      <x:c r="E15" s="10" t="n">
        <x:v>1.84</x:v>
      </x:c>
      <x:c r="F15" s="10" t="n">
        <x:v>7.2</x:v>
      </x:c>
      <x:c r="G15" s="10" t="str">
        <x:v>Sesame seeds 5 g + Sunflower seeds 5 g + Chia seeds 5 g</x:v>
      </x:c>
    </x:row>
    <x:row r="16">
      <x:c r="A16" s="10" t="str">
        <x:v>Day 6</x:v>
      </x:c>
      <x:c r="B16" s="10" t="n">
        <x:v>1750.5</x:v>
      </x:c>
      <x:c r="C16" s="10" t="n">
        <x:v>126.5</x:v>
      </x:c>
      <x:c r="D16" s="10" t="n">
        <x:v>43.9</x:v>
      </x:c>
      <x:c r="E16" s="10" t="n">
        <x:v>2.84</x:v>
      </x:c>
      <x:c r="F16" s="10" t="n">
        <x:v>7.4</x:v>
      </x:c>
      <x:c r="G16" s="10" t="str">
        <x:v>Chia seeds 5 g + Hemp hearts 5 g + Pumpkin seeds 5 g</x:v>
      </x:c>
    </x:row>
    <x:row r="17">
      <x:c r="A17" s="10" t="str">
        <x:v>Day 7</x:v>
      </x:c>
      <x:c r="B17" s="10" t="n">
        <x:v>1753.1</x:v>
      </x:c>
      <x:c r="C17" s="10" t="n">
        <x:v>122.5</x:v>
      </x:c>
      <x:c r="D17" s="10" t="n">
        <x:v>42.4</x:v>
      </x:c>
      <x:c r="E17" s="10" t="n">
        <x:v>3.15</x:v>
      </x:c>
      <x:c r="F17" s="10" t="n">
        <x:v>5.66</x:v>
      </x:c>
      <x:c r="G17" s="10" t="str">
        <x:v>Ground flaxseed 5 g + Chia seeds 5 g + Sunflower seeds 5 g</x:v>
      </x:c>
    </x:row>
  </x:sheetData>
  <x:mergeCells>
    <x:mergeCell ref="A1:H1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24" hidden="0" customWidth="1"/>
    <x:col min="3" max="3" width="34" hidden="0" customWidth="1"/>
    <x:col min="4" max="4" width="52" hidden="0" customWidth="1"/>
    <x:col min="5" max="5" width="24" hidden="0" customWidth="1"/>
    <x:col min="6" max="6" width="46" hidden="0" customWidth="1"/>
    <x:col min="7" max="7" width="60" hidden="0" customWidth="1"/>
    <x:col min="8" max="8" width="60" hidden="0" customWidth="1"/>
  </x:cols>
  <x:sheetData>
    <x:row r="1">
      <x:c r="A1" s="103" t="str">
        <x:v>Day</x:v>
      </x:c>
      <x:c r="B1" s="103" t="str">
        <x:v>Meal</x:v>
      </x:c>
      <x:c r="C1" s="103" t="str">
        <x:v>Primary Workbook Recipe</x:v>
      </x:c>
      <x:c r="D1" s="103" t="str">
        <x:v>YouTube Link</x:v>
      </x:c>
      <x:c r="E1" s="103" t="str">
        <x:v>Reference Type</x:v>
      </x:c>
      <x:c r="F1" s="103" t="str">
        <x:v>Video / Search</x:v>
      </x:c>
      <x:c r="G1" s="103" t="str">
        <x:v>How to Use</x:v>
      </x:c>
      <x:c r="H1" s="103" t="str">
        <x:v>Important</x:v>
      </x:c>
    </x:row>
    <x:row r="2">
      <x:c r="A2" s="10" t="str">
        <x:v>Day 1</x:v>
      </x:c>
      <x:c r="B2" s="10" t="str">
        <x:v>Breakfast — Option 1</x:v>
      </x:c>
      <x:c r="C2" s="10" t="str">
        <x:v>Warm Oats + Eggs + Separate Seed Side</x:v>
      </x:c>
      <x:c r="D2" s="10" t="str">
        <x:v>https://www.youtube.com/results?search_query=Indian+oats+egg+breakfast+recipe</x:v>
      </x:c>
      <x:c r="E2" s="10" t="str">
        <x:v>YouTube search fallback</x:v>
      </x:c>
      <x:c r="F2" s="10" t="str">
        <x:v>YouTube search: Warm Oats + Eggs + Separate Seed Side</x:v>
      </x:c>
      <x:c r="G2" s="10" t="str">
        <x:v>Use the video for cooking technique only. Follow the workbook's exact ingredient quantities, oil limits, dairy restrictions, salt rules, and fruit-separation rules.</x:v>
      </x:c>
      <x:c r="H2" s="10" t="str">
        <x:v>External recipes may contain ingredients or quantities that are not allowed in this plan; workbook rules override the video.</x:v>
      </x:c>
    </x:row>
    <x:row r="3">
      <x:c r="A3" s="10" t="str">
        <x:v>Day 1</x:v>
      </x:c>
      <x:c r="B3" s="10" t="str">
        <x:v>Breakfast — Option 4</x:v>
      </x:c>
      <x:c r="C3" s="10" t="str">
        <x:v>Overnight No-Cook Breakfast Jar + Pre-Cooked Eggs</x:v>
      </x:c>
      <x:c r="D3" s="10" t="str">
        <x:v>https://www.youtube.com/watch?v=NeBf5ewmI0A</x:v>
      </x:c>
      <x:c r="E3" s="10" t="str">
        <x:v>Direct reference</x:v>
      </x:c>
      <x:c r="F3" s="10" t="str">
        <x:v>Clean &amp; Delicious — Overnight Oats 6 Ways</x:v>
      </x:c>
      <x:c r="G3" s="10" t="str">
        <x:v>Use the video for cooking technique only. Follow the workbook's exact ingredient quantities, oil limits, dairy restrictions, salt rules, and fruit-separation rules.</x:v>
      </x:c>
      <x:c r="H3" s="10" t="str">
        <x:v>External recipes may contain ingredients or quantities that are not allowed in this plan; workbook rules override the video.</x:v>
      </x:c>
    </x:row>
    <x:row r="4">
      <x:c r="A4" s="10" t="str">
        <x:v>Day 1</x:v>
      </x:c>
      <x:c r="B4" s="10" t="str">
        <x:v>Lunch</x:v>
      </x:c>
      <x:c r="C4" s="10" t="str">
        <x:v>Chicken-Toor Dal Rice Bowl</x:v>
      </x:c>
      <x:c r="D4" s="10" t="str">
        <x:v>https://www.youtube.com/results?search_query=chicken+toor+dal+recipe</x:v>
      </x:c>
      <x:c r="E4" s="10" t="str">
        <x:v>YouTube search fallback</x:v>
      </x:c>
      <x:c r="F4" s="10" t="str">
        <x:v>YouTube search: Chicken-Toor Dal Rice Bowl</x:v>
      </x:c>
      <x:c r="G4" s="10" t="str">
        <x:v>Use the video for cooking technique only. Follow the workbook's exact ingredient quantities, oil limits, dairy restrictions, salt rules, and fruit-separation rules.</x:v>
      </x:c>
      <x:c r="H4" s="10" t="str">
        <x:v>External recipes may contain ingredients or quantities that are not allowed in this plan; workbook rules override the video.</x:v>
      </x:c>
    </x:row>
    <x:row r="5">
      <x:c r="A5" s="10" t="str">
        <x:v>Day 1</x:v>
      </x:c>
      <x:c r="B5" s="10" t="str">
        <x:v>Dinner</x:v>
      </x:c>
      <x:c r="C5" s="10" t="str">
        <x:v>Chicken Vegetable Pulao</x:v>
      </x:c>
      <x:c r="D5" s="10" t="str">
        <x:v>https://www.youtube.com/watch?v=eNLOiM6orQU</x:v>
      </x:c>
      <x:c r="E5" s="10" t="str">
        <x:v>Direct reference</x:v>
      </x:c>
      <x:c r="F5" s="10" t="str">
        <x:v>Masala TV — Chicken Vegetable Pulao</x:v>
      </x:c>
      <x:c r="G5" s="10" t="str">
        <x:v>Use the video for cooking technique only. Follow the workbook's exact ingredient quantities, oil limits, dairy restrictions, salt rules, and fruit-separation rules.</x:v>
      </x:c>
      <x:c r="H5" s="10" t="str">
        <x:v>External recipes may contain ingredients or quantities that are not allowed in this plan; workbook rules override the video.</x:v>
      </x:c>
    </x:row>
    <x:row r="6">
      <x:c r="A6" s="10" t="str">
        <x:v>Day 2</x:v>
      </x:c>
      <x:c r="B6" s="10" t="str">
        <x:v>Breakfast — Option 1</x:v>
      </x:c>
      <x:c r="C6" s="10" t="str">
        <x:v>Ragi Milk Porridge + Eggs + Separate Seed Side</x:v>
      </x:c>
      <x:c r="D6" s="10" t="str">
        <x:v>https://www.youtube.com/watch?v=zBDcYxhYh_4</x:v>
      </x:c>
      <x:c r="E6" s="10" t="str">
        <x:v>Direct reference</x:v>
      </x:c>
      <x:c r="F6" s="10" t="str">
        <x:v>Hebbars Kitchen — Ragi Breakfast Recipes</x:v>
      </x:c>
      <x:c r="G6" s="10" t="str">
        <x:v>Use the video for cooking technique only. Follow the workbook's exact ingredient quantities, oil limits, dairy restrictions, salt rules, and fruit-separation rules.</x:v>
      </x:c>
      <x:c r="H6" s="10" t="str">
        <x:v>External recipes may contain ingredients or quantities that are not allowed in this plan; workbook rules override the video.</x:v>
      </x:c>
    </x:row>
    <x:row r="7">
      <x:c r="A7" s="10" t="str">
        <x:v>Day 2</x:v>
      </x:c>
      <x:c r="B7" s="10" t="str">
        <x:v>Breakfast — Option 4</x:v>
      </x:c>
      <x:c r="C7" s="10" t="str">
        <x:v>Overnight No-Cook Breakfast Jar + Pre-Cooked Eggs</x:v>
      </x:c>
      <x:c r="D7" s="10" t="str">
        <x:v>https://www.youtube.com/watch?v=NeBf5ewmI0A</x:v>
      </x:c>
      <x:c r="E7" s="10" t="str">
        <x:v>Direct reference</x:v>
      </x:c>
      <x:c r="F7" s="10" t="str">
        <x:v>Clean &amp; Delicious — Overnight Oats 6 Ways</x:v>
      </x:c>
      <x:c r="G7" s="10" t="str">
        <x:v>Use the video for cooking technique only. Follow the workbook's exact ingredient quantities, oil limits, dairy restrictions, salt rules, and fruit-separation rules.</x:v>
      </x:c>
      <x:c r="H7" s="10" t="str">
        <x:v>External recipes may contain ingredients or quantities that are not allowed in this plan; workbook rules override the video.</x:v>
      </x:c>
    </x:row>
    <x:row r="8">
      <x:c r="A8" s="10" t="str">
        <x:v>Day 2</x:v>
      </x:c>
      <x:c r="B8" s="10" t="str">
        <x:v>Lunch</x:v>
      </x:c>
      <x:c r="C8" s="10" t="str">
        <x:v>Chicken Rajma Masala Bowl</x:v>
      </x:c>
      <x:c r="D8" s="10" t="str">
        <x:v>https://www.youtube.com/results?search_query=chicken+rajma+curry+recipe</x:v>
      </x:c>
      <x:c r="E8" s="10" t="str">
        <x:v>YouTube search fallback</x:v>
      </x:c>
      <x:c r="F8" s="10" t="str">
        <x:v>YouTube search: Chicken Rajma Masala Bowl</x:v>
      </x:c>
      <x:c r="G8" s="10" t="str">
        <x:v>Use the video for cooking technique only. Follow the workbook's exact ingredient quantities, oil limits, dairy restrictions, salt rules, and fruit-separation rules.</x:v>
      </x:c>
      <x:c r="H8" s="10" t="str">
        <x:v>External recipes may contain ingredients or quantities that are not allowed in this plan; workbook rules override the video.</x:v>
      </x:c>
    </x:row>
    <x:row r="9">
      <x:c r="A9" s="10" t="str">
        <x:v>Day 2</x:v>
      </x:c>
      <x:c r="B9" s="10" t="str">
        <x:v>Dinner</x:v>
      </x:c>
      <x:c r="C9" s="10" t="str">
        <x:v>Egg-Moong Vegetable Khichdi</x:v>
      </x:c>
      <x:c r="D9" s="10" t="str">
        <x:v>https://www.youtube.com/results?search_query=egg+moong+dal+khichdi+recipe</x:v>
      </x:c>
      <x:c r="E9" s="10" t="str">
        <x:v>YouTube search fallback</x:v>
      </x:c>
      <x:c r="F9" s="10" t="str">
        <x:v>YouTube search: Egg-Moong Vegetable Khichdi</x:v>
      </x:c>
      <x:c r="G9" s="10" t="str">
        <x:v>Use the video for cooking technique only. Follow the workbook's exact ingredient quantities, oil limits, dairy restrictions, salt rules, and fruit-separation rules.</x:v>
      </x:c>
      <x:c r="H9" s="10" t="str">
        <x:v>External recipes may contain ingredients or quantities that are not allowed in this plan; workbook rules override the video.</x:v>
      </x:c>
    </x:row>
    <x:row r="10">
      <x:c r="A10" s="10" t="str">
        <x:v>Day 3</x:v>
      </x:c>
      <x:c r="B10" s="10" t="str">
        <x:v>Breakfast — Option 1</x:v>
      </x:c>
      <x:c r="C10" s="10" t="str">
        <x:v>Warm Oats + Eggs + Separate Seed Side</x:v>
      </x:c>
      <x:c r="D10" s="10" t="str">
        <x:v>https://www.youtube.com/results?search_query=Indian+oats+egg+breakfast+recipe</x:v>
      </x:c>
      <x:c r="E10" s="10" t="str">
        <x:v>YouTube search fallback</x:v>
      </x:c>
      <x:c r="F10" s="10" t="str">
        <x:v>YouTube search: Warm Oats + Eggs + Separate Seed Side</x:v>
      </x:c>
      <x:c r="G10" s="10" t="str">
        <x:v>Use the video for cooking technique only. Follow the workbook's exact ingredient quantities, oil limits, dairy restrictions, salt rules, and fruit-separation rules.</x:v>
      </x:c>
      <x:c r="H10" s="10" t="str">
        <x:v>External recipes may contain ingredients or quantities that are not allowed in this plan; workbook rules override the video.</x:v>
      </x:c>
    </x:row>
    <x:row r="11">
      <x:c r="A11" s="10" t="str">
        <x:v>Day 3</x:v>
      </x:c>
      <x:c r="B11" s="10" t="str">
        <x:v>Breakfast — Option 4</x:v>
      </x:c>
      <x:c r="C11" s="10" t="str">
        <x:v>Overnight No-Cook Breakfast Jar + Pre-Cooked Eggs</x:v>
      </x:c>
      <x:c r="D11" s="10" t="str">
        <x:v>https://www.youtube.com/watch?v=NeBf5ewmI0A</x:v>
      </x:c>
      <x:c r="E11" s="10" t="str">
        <x:v>Direct reference</x:v>
      </x:c>
      <x:c r="F11" s="10" t="str">
        <x:v>Clean &amp; Delicious — Overnight Oats 6 Ways</x:v>
      </x:c>
      <x:c r="G11" s="10" t="str">
        <x:v>Use the video for cooking technique only. Follow the workbook's exact ingredient quantities, oil limits, dairy restrictions, salt rules, and fruit-separation rules.</x:v>
      </x:c>
      <x:c r="H11" s="10" t="str">
        <x:v>External recipes may contain ingredients or quantities that are not allowed in this plan; workbook rules override the video.</x:v>
      </x:c>
    </x:row>
    <x:row r="12">
      <x:c r="A12" s="10" t="str">
        <x:v>Day 3</x:v>
      </x:c>
      <x:c r="B12" s="10" t="str">
        <x:v>Lunch</x:v>
      </x:c>
      <x:c r="C12" s="10" t="str">
        <x:v>Chicken-Moong Khichdi</x:v>
      </x:c>
      <x:c r="D12" s="10" t="str">
        <x:v>https://www.youtube.com/watch?v=_sC2kO_iOl0</x:v>
      </x:c>
      <x:c r="E12" s="10" t="str">
        <x:v>Direct reference</x:v>
      </x:c>
      <x:c r="F12" s="10" t="str">
        <x:v>Shamima Ka Kitchen — Moong Dal Chicken</x:v>
      </x:c>
      <x:c r="G12" s="10" t="str">
        <x:v>Use the video for cooking technique only. Follow the workbook's exact ingredient quantities, oil limits, dairy restrictions, salt rules, and fruit-separation rules.</x:v>
      </x:c>
      <x:c r="H12" s="10" t="str">
        <x:v>External recipes may contain ingredients or quantities that are not allowed in this plan; workbook rules override the video.</x:v>
      </x:c>
    </x:row>
    <x:row r="13">
      <x:c r="A13" s="10" t="str">
        <x:v>Day 3</x:v>
      </x:c>
      <x:c r="B13" s="10" t="str">
        <x:v>Dinner</x:v>
      </x:c>
      <x:c r="C13" s="10" t="str">
        <x:v>Ragi Mudde + Egg-Chana Vegetable Curry</x:v>
      </x:c>
      <x:c r="D13" s="10" t="str">
        <x:v>https://www.youtube.com/results?search_query=Ragi+Mudde+%2B+Egg-Chana+Vegetable+Curry+Indian+recipe</x:v>
      </x:c>
      <x:c r="E13" s="10" t="str">
        <x:v>YouTube search fallback</x:v>
      </x:c>
      <x:c r="F13" s="10" t="str">
        <x:v>YouTube search: Ragi Mudde + Egg-Chana Vegetable Curry</x:v>
      </x:c>
      <x:c r="G13" s="10" t="str">
        <x:v>Use the video for cooking technique only. Follow the workbook's exact ingredient quantities, oil limits, dairy restrictions, salt rules, and fruit-separation rules.</x:v>
      </x:c>
      <x:c r="H13" s="10" t="str">
        <x:v>External recipes may contain ingredients or quantities that are not allowed in this plan; workbook rules override the video.</x:v>
      </x:c>
    </x:row>
    <x:row r="14">
      <x:c r="A14" s="10" t="str">
        <x:v>Day 4</x:v>
      </x:c>
      <x:c r="B14" s="10" t="str">
        <x:v>Breakfast — Option 1</x:v>
      </x:c>
      <x:c r="C14" s="10" t="str">
        <x:v>Warm Oats + Eggs + Separate Seed Side</x:v>
      </x:c>
      <x:c r="D14" s="10" t="str">
        <x:v>https://www.youtube.com/results?search_query=Indian+oats+egg+breakfast+recipe</x:v>
      </x:c>
      <x:c r="E14" s="10" t="str">
        <x:v>YouTube search fallback</x:v>
      </x:c>
      <x:c r="F14" s="10" t="str">
        <x:v>YouTube search: Warm Oats + Eggs + Separate Seed Side</x:v>
      </x:c>
      <x:c r="G14" s="10" t="str">
        <x:v>Use the video for cooking technique only. Follow the workbook's exact ingredient quantities, oil limits, dairy restrictions, salt rules, and fruit-separation rules.</x:v>
      </x:c>
      <x:c r="H14" s="10" t="str">
        <x:v>External recipes may contain ingredients or quantities that are not allowed in this plan; workbook rules override the video.</x:v>
      </x:c>
    </x:row>
    <x:row r="15">
      <x:c r="A15" s="10" t="str">
        <x:v>Day 4</x:v>
      </x:c>
      <x:c r="B15" s="10" t="str">
        <x:v>Breakfast — Option 4</x:v>
      </x:c>
      <x:c r="C15" s="10" t="str">
        <x:v>Overnight No-Cook Breakfast Jar + Pre-Cooked Eggs</x:v>
      </x:c>
      <x:c r="D15" s="10" t="str">
        <x:v>https://www.youtube.com/watch?v=NeBf5ewmI0A</x:v>
      </x:c>
      <x:c r="E15" s="10" t="str">
        <x:v>Direct reference</x:v>
      </x:c>
      <x:c r="F15" s="10" t="str">
        <x:v>Clean &amp; Delicious — Overnight Oats 6 Ways</x:v>
      </x:c>
      <x:c r="G15" s="10" t="str">
        <x:v>Use the video for cooking technique only. Follow the workbook's exact ingredient quantities, oil limits, dairy restrictions, salt rules, and fruit-separation rules.</x:v>
      </x:c>
      <x:c r="H15" s="10" t="str">
        <x:v>External recipes may contain ingredients or quantities that are not allowed in this plan; workbook rules override the video.</x:v>
      </x:c>
    </x:row>
    <x:row r="16">
      <x:c r="A16" s="10" t="str">
        <x:v>Day 4</x:v>
      </x:c>
      <x:c r="B16" s="10" t="str">
        <x:v>Lunch</x:v>
      </x:c>
      <x:c r="C16" s="10" t="str">
        <x:v>Air-Fryer Tandoori-Style Tilapia Bowl</x:v>
      </x:c>
      <x:c r="D16" s="10" t="str">
        <x:v>https://www.youtube.com/results?search_query=Indian+tilapia+curry+recipe</x:v>
      </x:c>
      <x:c r="E16" s="10" t="str">
        <x:v>YouTube search fallback</x:v>
      </x:c>
      <x:c r="F16" s="10" t="str">
        <x:v>YouTube search: Air-Fryer Tandoori-Style Tilapia Bowl</x:v>
      </x:c>
      <x:c r="G16" s="10" t="str">
        <x:v>Use the video for cooking technique only. Follow the workbook's exact ingredient quantities, oil limits, dairy restrictions, salt rules, and fruit-separation rules.</x:v>
      </x:c>
      <x:c r="H16" s="10" t="str">
        <x:v>External recipes may contain ingredients or quantities that are not allowed in this plan; workbook rules override the video.</x:v>
      </x:c>
    </x:row>
    <x:row r="17">
      <x:c r="A17" s="10" t="str">
        <x:v>Day 4</x:v>
      </x:c>
      <x:c r="B17" s="10" t="str">
        <x:v>Dinner</x:v>
      </x:c>
      <x:c r="C17" s="10" t="str">
        <x:v>Chicken-Moong Vegetable Khichdi</x:v>
      </x:c>
      <x:c r="D17" s="10" t="str">
        <x:v>https://www.youtube.com/watch?v=_sC2kO_iOl0</x:v>
      </x:c>
      <x:c r="E17" s="10" t="str">
        <x:v>Direct reference</x:v>
      </x:c>
      <x:c r="F17" s="10" t="str">
        <x:v>Shamima Ka Kitchen — Moong Dal Chicken</x:v>
      </x:c>
      <x:c r="G17" s="10" t="str">
        <x:v>Use the video for cooking technique only. Follow the workbook's exact ingredient quantities, oil limits, dairy restrictions, salt rules, and fruit-separation rules.</x:v>
      </x:c>
      <x:c r="H17" s="10" t="str">
        <x:v>External recipes may contain ingredients or quantities that are not allowed in this plan; workbook rules override the video.</x:v>
      </x:c>
    </x:row>
    <x:row r="18">
      <x:c r="A18" s="10" t="str">
        <x:v>Day 5</x:v>
      </x:c>
      <x:c r="B18" s="10" t="str">
        <x:v>Breakfast — Option 1</x:v>
      </x:c>
      <x:c r="C18" s="10" t="str">
        <x:v>Ragi Milk Porridge + Eggs + Separate Seed Side</x:v>
      </x:c>
      <x:c r="D18" s="10" t="str">
        <x:v>https://www.youtube.com/watch?v=zBDcYxhYh_4</x:v>
      </x:c>
      <x:c r="E18" s="10" t="str">
        <x:v>Direct reference</x:v>
      </x:c>
      <x:c r="F18" s="10" t="str">
        <x:v>Hebbars Kitchen — Ragi Breakfast Recipes</x:v>
      </x:c>
      <x:c r="G18" s="10" t="str">
        <x:v>Use the video for cooking technique only. Follow the workbook's exact ingredient quantities, oil limits, dairy restrictions, salt rules, and fruit-separation rules.</x:v>
      </x:c>
      <x:c r="H18" s="10" t="str">
        <x:v>External recipes may contain ingredients or quantities that are not allowed in this plan; workbook rules override the video.</x:v>
      </x:c>
    </x:row>
    <x:row r="19">
      <x:c r="A19" s="10" t="str">
        <x:v>Day 5</x:v>
      </x:c>
      <x:c r="B19" s="10" t="str">
        <x:v>Breakfast — Option 4</x:v>
      </x:c>
      <x:c r="C19" s="10" t="str">
        <x:v>Overnight No-Cook Breakfast Jar + Pre-Cooked Eggs</x:v>
      </x:c>
      <x:c r="D19" s="10" t="str">
        <x:v>https://www.youtube.com/watch?v=NeBf5ewmI0A</x:v>
      </x:c>
      <x:c r="E19" s="10" t="str">
        <x:v>Direct reference</x:v>
      </x:c>
      <x:c r="F19" s="10" t="str">
        <x:v>Clean &amp; Delicious — Overnight Oats 6 Ways</x:v>
      </x:c>
      <x:c r="G19" s="10" t="str">
        <x:v>Use the video for cooking technique only. Follow the workbook's exact ingredient quantities, oil limits, dairy restrictions, salt rules, and fruit-separation rules.</x:v>
      </x:c>
      <x:c r="H19" s="10" t="str">
        <x:v>External recipes may contain ingredients or quantities that are not allowed in this plan; workbook rules override the video.</x:v>
      </x:c>
    </x:row>
    <x:row r="20">
      <x:c r="A20" s="10" t="str">
        <x:v>Day 5</x:v>
      </x:c>
      <x:c r="B20" s="10" t="str">
        <x:v>Lunch</x:v>
      </x:c>
      <x:c r="C20" s="10" t="str">
        <x:v>Chicken-Masoor Dal Bowl</x:v>
      </x:c>
      <x:c r="D20" s="10" t="str">
        <x:v>https://www.youtube.com/watch?v=vezzSoHnZT0</x:v>
      </x:c>
      <x:c r="E20" s="10" t="str">
        <x:v>Direct reference</x:v>
      </x:c>
      <x:c r="F20" s="10" t="str">
        <x:v>Afroz Kitchen — Masoor Dal Chicken</x:v>
      </x:c>
      <x:c r="G20" s="10" t="str">
        <x:v>Use the video for cooking technique only. Follow the workbook's exact ingredient quantities, oil limits, dairy restrictions, salt rules, and fruit-separation rules.</x:v>
      </x:c>
      <x:c r="H20" s="10" t="str">
        <x:v>External recipes may contain ingredients or quantities that are not allowed in this plan; workbook rules override the video.</x:v>
      </x:c>
    </x:row>
    <x:row r="21">
      <x:c r="A21" s="10" t="str">
        <x:v>Day 5</x:v>
      </x:c>
      <x:c r="B21" s="10" t="str">
        <x:v>Dinner</x:v>
      </x:c>
      <x:c r="C21" s="10" t="str">
        <x:v>Rajma Egg Rice Bowl</x:v>
      </x:c>
      <x:c r="D21" s="10" t="str">
        <x:v>https://www.youtube.com/results?search_query=egg+rajma+curry+recipe</x:v>
      </x:c>
      <x:c r="E21" s="10" t="str">
        <x:v>YouTube search fallback</x:v>
      </x:c>
      <x:c r="F21" s="10" t="str">
        <x:v>YouTube search: Rajma Egg Rice Bowl</x:v>
      </x:c>
      <x:c r="G21" s="10" t="str">
        <x:v>Use the video for cooking technique only. Follow the workbook's exact ingredient quantities, oil limits, dairy restrictions, salt rules, and fruit-separation rules.</x:v>
      </x:c>
      <x:c r="H21" s="10" t="str">
        <x:v>External recipes may contain ingredients or quantities that are not allowed in this plan; workbook rules override the video.</x:v>
      </x:c>
    </x:row>
    <x:row r="22">
      <x:c r="A22" s="10" t="str">
        <x:v>Day 6</x:v>
      </x:c>
      <x:c r="B22" s="10" t="str">
        <x:v>Breakfast — Option 1</x:v>
      </x:c>
      <x:c r="C22" s="10" t="str">
        <x:v>Warm Oats + Eggs + Separate Seed Side</x:v>
      </x:c>
      <x:c r="D22" s="10" t="str">
        <x:v>https://www.youtube.com/results?search_query=Indian+oats+egg+breakfast+recipe</x:v>
      </x:c>
      <x:c r="E22" s="10" t="str">
        <x:v>YouTube search fallback</x:v>
      </x:c>
      <x:c r="F22" s="10" t="str">
        <x:v>YouTube search: Warm Oats + Eggs + Separate Seed Side</x:v>
      </x:c>
      <x:c r="G22" s="10" t="str">
        <x:v>Use the video for cooking technique only. Follow the workbook's exact ingredient quantities, oil limits, dairy restrictions, salt rules, and fruit-separation rules.</x:v>
      </x:c>
      <x:c r="H22" s="10" t="str">
        <x:v>External recipes may contain ingredients or quantities that are not allowed in this plan; workbook rules override the video.</x:v>
      </x:c>
    </x:row>
    <x:row r="23">
      <x:c r="A23" s="10" t="str">
        <x:v>Day 6</x:v>
      </x:c>
      <x:c r="B23" s="10" t="str">
        <x:v>Breakfast — Option 4</x:v>
      </x:c>
      <x:c r="C23" s="10" t="str">
        <x:v>Overnight No-Cook Breakfast Jar + Pre-Cooked Eggs</x:v>
      </x:c>
      <x:c r="D23" s="10" t="str">
        <x:v>https://www.youtube.com/watch?v=NeBf5ewmI0A</x:v>
      </x:c>
      <x:c r="E23" s="10" t="str">
        <x:v>Direct reference</x:v>
      </x:c>
      <x:c r="F23" s="10" t="str">
        <x:v>Clean &amp; Delicious — Overnight Oats 6 Ways</x:v>
      </x:c>
      <x:c r="G23" s="10" t="str">
        <x:v>Use the video for cooking technique only. Follow the workbook's exact ingredient quantities, oil limits, dairy restrictions, salt rules, and fruit-separation rules.</x:v>
      </x:c>
      <x:c r="H23" s="10" t="str">
        <x:v>External recipes may contain ingredients or quantities that are not allowed in this plan; workbook rules override the video.</x:v>
      </x:c>
    </x:row>
    <x:row r="24">
      <x:c r="A24" s="10" t="str">
        <x:v>Day 6</x:v>
      </x:c>
      <x:c r="B24" s="10" t="str">
        <x:v>Lunch</x:v>
      </x:c>
      <x:c r="C24" s="10" t="str">
        <x:v>Chicken Chana Pulao</x:v>
      </x:c>
      <x:c r="D24" s="10" t="str">
        <x:v>https://www.youtube.com/watch?v=eNLOiM6orQU</x:v>
      </x:c>
      <x:c r="E24" s="10" t="str">
        <x:v>Direct reference</x:v>
      </x:c>
      <x:c r="F24" s="10" t="str">
        <x:v>Masala TV — Chicken Vegetable Pulao</x:v>
      </x:c>
      <x:c r="G24" s="10" t="str">
        <x:v>Use the video for cooking technique only. Follow the workbook's exact ingredient quantities, oil limits, dairy restrictions, salt rules, and fruit-separation rules.</x:v>
      </x:c>
      <x:c r="H24" s="10" t="str">
        <x:v>External recipes may contain ingredients or quantities that are not allowed in this plan; workbook rules override the video.</x:v>
      </x:c>
    </x:row>
    <x:row r="25">
      <x:c r="A25" s="10" t="str">
        <x:v>Day 6</x:v>
      </x:c>
      <x:c r="B25" s="10" t="str">
        <x:v>Dinner</x:v>
      </x:c>
      <x:c r="C25" s="10" t="str">
        <x:v>Masala Ocean Perch + Ragi Mudde + Moong Vegetables</x:v>
      </x:c>
      <x:c r="D25" s="10" t="str">
        <x:v>https://www.youtube.com/watch?v=v-rV4yh75Fs</x:v>
      </x:c>
      <x:c r="E25" s="10" t="str">
        <x:v>Direct reference</x:v>
      </x:c>
      <x:c r="F25" s="10" t="str">
        <x:v>Good Food Recipes — Indian-style Ocean Perch / Fish Fry</x:v>
      </x:c>
      <x:c r="G25" s="10" t="str">
        <x:v>Use the video for cooking technique only. Follow the workbook's exact ingredient quantities, oil limits, dairy restrictions, salt rules, and fruit-separation rules.</x:v>
      </x:c>
      <x:c r="H25" s="10" t="str">
        <x:v>External recipes may contain ingredients or quantities that are not allowed in this plan; workbook rules override the video.</x:v>
      </x:c>
    </x:row>
    <x:row r="26">
      <x:c r="A26" s="10" t="str">
        <x:v>Day 7</x:v>
      </x:c>
      <x:c r="B26" s="10" t="str">
        <x:v>Breakfast — Option 1</x:v>
      </x:c>
      <x:c r="C26" s="10" t="str">
        <x:v>Warm Oats + Eggs + Separate Seed Side</x:v>
      </x:c>
      <x:c r="D26" s="10" t="str">
        <x:v>https://www.youtube.com/results?search_query=Indian+oats+egg+breakfast+recipe</x:v>
      </x:c>
      <x:c r="E26" s="10" t="str">
        <x:v>YouTube search fallback</x:v>
      </x:c>
      <x:c r="F26" s="10" t="str">
        <x:v>YouTube search: Warm Oats + Eggs + Separate Seed Side</x:v>
      </x:c>
      <x:c r="G26" s="10" t="str">
        <x:v>Use the video for cooking technique only. Follow the workbook's exact ingredient quantities, oil limits, dairy restrictions, salt rules, and fruit-separation rules.</x:v>
      </x:c>
      <x:c r="H26" s="10" t="str">
        <x:v>External recipes may contain ingredients or quantities that are not allowed in this plan; workbook rules override the video.</x:v>
      </x:c>
    </x:row>
    <x:row r="27">
      <x:c r="A27" s="10" t="str">
        <x:v>Day 7</x:v>
      </x:c>
      <x:c r="B27" s="10" t="str">
        <x:v>Breakfast — Option 4</x:v>
      </x:c>
      <x:c r="C27" s="10" t="str">
        <x:v>Overnight No-Cook Breakfast Jar + Pre-Cooked Eggs</x:v>
      </x:c>
      <x:c r="D27" s="10" t="str">
        <x:v>https://www.youtube.com/watch?v=NeBf5ewmI0A</x:v>
      </x:c>
      <x:c r="E27" s="10" t="str">
        <x:v>Direct reference</x:v>
      </x:c>
      <x:c r="F27" s="10" t="str">
        <x:v>Clean &amp; Delicious — Overnight Oats 6 Ways</x:v>
      </x:c>
      <x:c r="G27" s="10" t="str">
        <x:v>Use the video for cooking technique only. Follow the workbook's exact ingredient quantities, oil limits, dairy restrictions, salt rules, and fruit-separation rules.</x:v>
      </x:c>
      <x:c r="H27" s="10" t="str">
        <x:v>External recipes may contain ingredients or quantities that are not allowed in this plan; workbook rules override the video.</x:v>
      </x:c>
    </x:row>
    <x:row r="28">
      <x:c r="A28" s="10" t="str">
        <x:v>Day 7</x:v>
      </x:c>
      <x:c r="B28" s="10" t="str">
        <x:v>Lunch</x:v>
      </x:c>
      <x:c r="C28" s="10" t="str">
        <x:v>Instant Pot Goat-Masoor Stew</x:v>
      </x:c>
      <x:c r="D28" s="10" t="str">
        <x:v>https://www.youtube.com/watch?v=t1rfuVhnacM</x:v>
      </x:c>
      <x:c r="E28" s="10" t="str">
        <x:v>Direct reference</x:v>
      </x:c>
      <x:c r="F28" s="10" t="str">
        <x:v>Burmawala Kitchen — Masoor Dal Gosht</x:v>
      </x:c>
      <x:c r="G28" s="10" t="str">
        <x:v>Use the video for cooking technique only. Follow the workbook's exact ingredient quantities, oil limits, dairy restrictions, salt rules, and fruit-separation rules.</x:v>
      </x:c>
      <x:c r="H28" s="10" t="str">
        <x:v>External recipes may contain ingredients or quantities that are not allowed in this plan; workbook rules override the video.</x:v>
      </x:c>
    </x:row>
    <x:row r="29">
      <x:c r="A29" s="10" t="str">
        <x:v>Day 7</x:v>
      </x:c>
      <x:c r="B29" s="10" t="str">
        <x:v>Dinner</x:v>
      </x:c>
      <x:c r="C29" s="10" t="str">
        <x:v>Chicken-Toor Dal Khichdi</x:v>
      </x:c>
      <x:c r="D29" s="10" t="str">
        <x:v>https://www.youtube.com/results?search_query=chicken+toor+dal+recipe</x:v>
      </x:c>
      <x:c r="E29" s="10" t="str">
        <x:v>YouTube search fallback</x:v>
      </x:c>
      <x:c r="F29" s="10" t="str">
        <x:v>YouTube search: Chicken-Toor Dal Khichdi</x:v>
      </x:c>
      <x:c r="G29" s="10" t="str">
        <x:v>Use the video for cooking technique only. Follow the workbook's exact ingredient quantities, oil limits, dairy restrictions, salt rules, and fruit-separation rules.</x:v>
      </x:c>
      <x:c r="H29" s="10" t="str">
        <x:v>External recipes may contain ingredients or quantities that are not allowed in this plan; workbook rules override the video.</x:v>
      </x:c>
    </x:row>
  </x:sheetData>
  <x:pageMargins left="0.7" right="0.7" top="0.75" bottom="0.75" header="0.3" footer="0.3"/>
</x:worksheet>
</file>